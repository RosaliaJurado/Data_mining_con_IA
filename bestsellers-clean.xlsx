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ThisWorkbook"/>
  <mc:AlternateContent xmlns:mc="http://schemas.openxmlformats.org/markup-compatibility/2006">
    <mc:Choice Requires="x15">
      <x15ac:absPath xmlns:x15ac="http://schemas.microsoft.com/office/spreadsheetml/2010/11/ac" url="C:\Users\EQUIPO\Downloads\"/>
    </mc:Choice>
  </mc:AlternateContent>
  <xr:revisionPtr revIDLastSave="0" documentId="13_ncr:1_{FD0471F4-BB74-485C-BE82-84AB651DEB58}" xr6:coauthVersionLast="36" xr6:coauthVersionMax="36" xr10:uidLastSave="{00000000-0000-0000-0000-000000000000}"/>
  <bookViews>
    <workbookView xWindow="0" yWindow="0" windowWidth="28800" windowHeight="12810" xr2:uid="{00000000-000D-0000-FFFF-FFFF00000000}"/>
  </bookViews>
  <sheets>
    <sheet name="Tabla dinamica" sheetId="4" r:id="rId1"/>
    <sheet name="Dataset" sheetId="1" r:id="rId2"/>
    <sheet name="Regresión" sheetId="3" r:id="rId3"/>
    <sheet name="Hoja1" sheetId="2" r:id="rId4"/>
    <sheet name="Hoja4" sheetId="5" r:id="rId5"/>
  </sheets>
  <definedNames>
    <definedName name="_xlnm._FilterDatabase" localSheetId="1" hidden="1">Dataset!$A$2:$I$318</definedName>
  </definedNames>
  <calcPr calcId="179021"/>
  <pivotCaches>
    <pivotCache cacheId="6" r:id="rId6"/>
  </pivotCaches>
</workbook>
</file>

<file path=xl/calcChain.xml><?xml version="1.0" encoding="utf-8"?>
<calcChain xmlns="http://schemas.openxmlformats.org/spreadsheetml/2006/main">
  <c r="I4" i="1" l="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 i="1"/>
  <c r="D20" i="2" l="1"/>
  <c r="E318" i="1"/>
  <c r="C318" i="1"/>
  <c r="E317" i="1"/>
  <c r="C317" i="1"/>
  <c r="C316" i="1"/>
  <c r="E316" i="1"/>
  <c r="C315" i="1"/>
  <c r="E315"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 i="1"/>
</calcChain>
</file>

<file path=xl/sharedStrings.xml><?xml version="1.0" encoding="utf-8"?>
<sst xmlns="http://schemas.openxmlformats.org/spreadsheetml/2006/main" count="985" uniqueCount="579">
  <si>
    <t>Name</t>
  </si>
  <si>
    <t>Author</t>
  </si>
  <si>
    <t>User Rating</t>
  </si>
  <si>
    <t>Reviews</t>
  </si>
  <si>
    <t>Price</t>
  </si>
  <si>
    <t>Year</t>
  </si>
  <si>
    <t>Genre</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</si>
  <si>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</si>
  <si>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</si>
  <si>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</si>
  <si>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</si>
  <si>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</si>
  <si>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</si>
  <si>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</si>
  <si>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</si>
  <si>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</si>
  <si>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</si>
  <si>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</si>
  <si>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</si>
  <si>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</si>
  <si>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</si>
  <si>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</si>
  <si>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</si>
  <si>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</si>
  <si>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</si>
  <si>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</si>
  <si>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</si>
  <si>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</si>
  <si>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</si>
  <si>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</si>
  <si>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</si>
  <si>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</si>
  <si>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</si>
  <si>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</si>
  <si>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</si>
  <si>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</si>
  <si>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</si>
  <si>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</si>
  <si>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</si>
  <si>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</si>
  <si>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</si>
  <si>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</si>
  <si>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</si>
  <si>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</si>
  <si>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</si>
  <si>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</si>
  <si>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</si>
  <si>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</si>
  <si>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</si>
  <si>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</si>
  <si>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</si>
  <si>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</si>
  <si>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</si>
  <si>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</si>
  <si>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</si>
  <si>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</si>
  <si>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</si>
  <si>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</si>
  <si>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</si>
  <si>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</si>
  <si>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</si>
  <si>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</si>
  <si>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</si>
  <si>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</si>
  <si>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</si>
  <si>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</si>
  <si>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</si>
  <si>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</si>
  <si>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</si>
  <si>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</si>
  <si>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</si>
  <si>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</si>
  <si>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</si>
  <si>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</si>
  <si>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</si>
  <si>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</si>
  <si>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</si>
  <si>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</si>
  <si>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</si>
  <si>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</si>
  <si>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</si>
  <si>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</si>
  <si>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</si>
  <si>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</si>
  <si>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</si>
  <si>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</si>
  <si>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</si>
  <si>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</si>
  <si>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</si>
  <si>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</si>
  <si>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</si>
  <si>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</si>
  <si>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</si>
  <si>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</si>
  <si>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</si>
  <si>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</si>
  <si>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</si>
  <si>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</si>
  <si>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</si>
  <si>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</si>
  <si>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</si>
  <si>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</si>
  <si>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</si>
  <si>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</si>
  <si>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</si>
  <si>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</si>
  <si>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</si>
  <si>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</si>
  <si>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</si>
  <si>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</si>
  <si>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</si>
  <si>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</si>
  <si>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</si>
  <si>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</si>
  <si>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</si>
  <si>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</si>
  <si>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</si>
  <si>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</si>
  <si>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</si>
  <si>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</si>
  <si>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</si>
  <si>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</si>
  <si>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</si>
  <si>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</si>
  <si>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</si>
  <si>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</si>
  <si>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</si>
  <si>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</si>
  <si>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</si>
  <si>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</si>
  <si>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</si>
  <si>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</si>
  <si>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</si>
  <si>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</si>
  <si>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</si>
  <si>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</si>
  <si>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</si>
  <si>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</si>
  <si>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</si>
  <si>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</si>
  <si>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</si>
  <si>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</si>
  <si>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</si>
  <si>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</si>
  <si>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</si>
  <si>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</si>
  <si>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</si>
  <si>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</si>
  <si>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</si>
  <si>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</si>
  <si>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</si>
  <si>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</si>
  <si>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</si>
  <si>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</si>
  <si>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</si>
  <si>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</si>
  <si>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</si>
  <si>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</si>
  <si>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</si>
  <si>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</si>
  <si>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</si>
  <si>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</si>
  <si>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</si>
  <si>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</si>
  <si>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</si>
  <si>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</si>
  <si>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</si>
  <si>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</si>
  <si>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</si>
  <si>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</si>
  <si>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</si>
  <si>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</si>
  <si>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</si>
  <si>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</si>
  <si>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</si>
  <si>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</si>
  <si>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</si>
  <si>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</si>
  <si>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</si>
  <si>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</si>
  <si>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</si>
  <si>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</si>
  <si>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</si>
  <si>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</si>
  <si>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</si>
  <si>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</si>
  <si>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</si>
  <si>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</si>
  <si>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</si>
  <si>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</si>
  <si>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</si>
  <si>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</si>
  <si>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</si>
  <si>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</si>
  <si>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</si>
  <si>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</si>
  <si>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</si>
  <si>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</si>
  <si>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</si>
  <si>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</si>
  <si>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</si>
  <si>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</si>
  <si>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</si>
  <si>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</si>
  <si>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</si>
  <si>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</si>
  <si>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</si>
  <si>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</si>
  <si>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</si>
  <si>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</si>
  <si>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</si>
  <si>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</si>
  <si>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</si>
  <si>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</si>
  <si>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</si>
  <si>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</si>
  <si>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</si>
  <si>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</si>
  <si>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</si>
  <si>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</si>
  <si>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</si>
  <si>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</si>
  <si>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</si>
  <si>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</si>
  <si>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</si>
  <si>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</si>
  <si>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</si>
  <si>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</si>
  <si>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</si>
  <si>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</si>
  <si>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</si>
  <si>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</si>
  <si>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</si>
  <si>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</si>
  <si>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</si>
  <si>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</si>
  <si>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</si>
  <si>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</si>
  <si>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</si>
  <si>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</si>
  <si>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</si>
  <si>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</si>
  <si>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</si>
  <si>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</si>
  <si>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</si>
  <si>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</si>
  <si>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</si>
  <si>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</si>
  <si>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</si>
  <si>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</si>
  <si>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</si>
  <si>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</si>
  <si>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</si>
  <si>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</si>
  <si>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</si>
  <si>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</si>
  <si>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</si>
  <si>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</si>
  <si>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</si>
  <si>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</si>
  <si>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</si>
  <si>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</si>
  <si>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</si>
  <si>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</si>
  <si>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</si>
  <si>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</si>
  <si>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</si>
  <si>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</si>
  <si>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</si>
  <si>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</si>
  <si>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</si>
  <si>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</si>
  <si>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</si>
  <si>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</si>
  <si>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</si>
  <si>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</si>
  <si>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</si>
  <si>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</si>
  <si>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</si>
  <si>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</si>
  <si>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</si>
  <si>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</si>
  <si>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</si>
  <si>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</si>
  <si>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</si>
  <si>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</si>
  <si>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</si>
  <si>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</si>
  <si>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</si>
  <si>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</si>
  <si>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</si>
  <si>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</si>
  <si>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</si>
  <si>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</si>
  <si>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</si>
  <si>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</si>
  <si>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</si>
  <si>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</si>
  <si>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</si>
  <si>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</si>
  <si>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</si>
  <si>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</si>
  <si>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</si>
  <si>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</si>
  <si>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</si>
  <si>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</si>
  <si>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</si>
  <si>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</si>
  <si>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</si>
  <si>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</si>
  <si>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</si>
  <si>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</si>
  <si>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</si>
  <si>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</si>
  <si>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</si>
  <si>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</si>
  <si>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</si>
  <si>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</si>
  <si>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</si>
  <si>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</si>
  <si>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</si>
  <si>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</si>
  <si>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</si>
  <si>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</si>
  <si>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</si>
  <si>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</si>
  <si>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</si>
  <si>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</si>
  <si>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</si>
  <si>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</si>
  <si>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</si>
  <si>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</si>
  <si>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</si>
  <si>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</si>
  <si>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</si>
  <si>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</si>
  <si>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Pokémon Deluxe Essential Handbook: The Need-to-Know Stats and Facts on Over 700 Pokémon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</si>
  <si>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</si>
  <si>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</si>
  <si>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</si>
  <si>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</si>
  <si>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</si>
  <si>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</si>
  <si>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</si>
  <si>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</si>
  <si>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</si>
  <si>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</si>
  <si>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</si>
  <si>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</si>
  <si>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</si>
  <si>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</si>
  <si>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</si>
  <si>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</si>
  <si>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</si>
  <si>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</si>
  <si>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</si>
  <si>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</si>
  <si>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</si>
  <si>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</si>
  <si>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</si>
  <si>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</si>
  <si>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</si>
  <si>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</si>
  <si>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</si>
  <si>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</si>
  <si>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</si>
  <si>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</si>
  <si>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</si>
  <si>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</si>
  <si>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</si>
  <si>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</si>
  <si>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</si>
  <si>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</si>
  <si>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</si>
  <si>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</si>
  <si>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</si>
  <si>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</si>
  <si>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</si>
  <si>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</si>
  <si>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</si>
  <si>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</si>
  <si>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</si>
  <si>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</si>
  <si>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</si>
  <si>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</si>
  <si>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</si>
  <si>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</si>
  <si>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</si>
  <si>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</si>
  <si>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</si>
  <si>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</si>
  <si>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</si>
  <si>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</si>
  <si>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</si>
  <si>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</si>
  <si>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</si>
  <si>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</si>
  <si>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</si>
  <si>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</si>
  <si>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</si>
  <si>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</si>
  <si>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</si>
  <si>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</si>
  <si>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</si>
  <si>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</si>
  <si>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</si>
  <si>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</si>
  <si>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</si>
  <si>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</si>
  <si>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</si>
  <si>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</si>
  <si>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</si>
  <si>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t>
  </si>
  <si>
    <t>Thomas Campbell</t>
  </si>
  <si>
    <t>The Complete Ketogenic Diet for Beginners: Your Essential Guide to Living the Keto Lifestyle</t>
  </si>
  <si>
    <t>Amy Ramos</t>
  </si>
  <si>
    <t>The Confession: A Novel</t>
  </si>
  <si>
    <t>The Constitution of the United States</t>
  </si>
  <si>
    <t>Delegates of the Constitutional</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</si>
  <si>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</si>
  <si>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</si>
  <si>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</si>
  <si>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</si>
  <si>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</si>
  <si>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</si>
  <si>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</si>
  <si>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</si>
  <si>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</si>
  <si>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</si>
  <si>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</si>
  <si>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</si>
  <si>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</si>
  <si>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</si>
  <si>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</si>
  <si>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</si>
  <si>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</si>
  <si>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</si>
  <si>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</si>
  <si>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</si>
  <si>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</si>
  <si>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</si>
  <si>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</si>
  <si>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</si>
  <si>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</si>
  <si>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</si>
  <si>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</si>
  <si>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</si>
  <si>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</si>
  <si>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</si>
  <si>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</si>
  <si>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</si>
  <si>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</si>
  <si>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</si>
  <si>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</si>
  <si>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</si>
  <si>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</si>
  <si>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</si>
  <si>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</si>
  <si>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</si>
  <si>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</si>
  <si>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</si>
  <si>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</si>
  <si>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</si>
  <si>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</si>
  <si>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</si>
  <si>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</si>
  <si>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</si>
  <si>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</si>
  <si>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</si>
  <si>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</si>
  <si>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</si>
  <si>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</si>
  <si>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</si>
  <si>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</si>
  <si>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Kondō</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</si>
  <si>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</si>
  <si>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</si>
  <si>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</si>
  <si>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</si>
  <si>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</si>
  <si>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</si>
  <si>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</si>
  <si>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</si>
  <si>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</si>
  <si>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</si>
  <si>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</si>
  <si>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</si>
  <si>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</si>
  <si>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</si>
  <si>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</si>
  <si>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</si>
  <si>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</si>
  <si>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</si>
  <si>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</si>
  <si>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</si>
  <si>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</si>
  <si>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</si>
  <si>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</si>
  <si>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</si>
  <si>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</si>
  <si>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</si>
  <si>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</si>
  <si>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</si>
  <si>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</si>
  <si>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</si>
  <si>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</si>
  <si>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</si>
  <si>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</si>
  <si>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</si>
  <si>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</si>
  <si>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</si>
  <si>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</si>
  <si>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</si>
  <si>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</si>
  <si>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</si>
  <si>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</si>
  <si>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</si>
  <si>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</si>
  <si>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</si>
  <si>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</si>
  <si>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</si>
  <si>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</si>
  <si>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</si>
  <si>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</si>
  <si>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</si>
  <si>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</si>
  <si>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</si>
  <si>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</si>
  <si>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</si>
  <si>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</si>
  <si>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</si>
  <si>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</si>
  <si>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t>
  </si>
  <si>
    <t>Dinah Bucholz</t>
  </si>
  <si>
    <t>The Very Hungry Caterpillar</t>
  </si>
  <si>
    <t>Eric Carle</t>
  </si>
  <si>
    <t>The Whole30: The 30-Day Guide to Total Health and Food Freedom</t>
  </si>
  <si>
    <t>Melissa Hartwig Urban</t>
  </si>
  <si>
    <t>The Wonderful Things You Will Be</t>
  </si>
  <si>
    <t>Emily Winfield Martin</t>
  </si>
  <si>
    <t>Name+Author</t>
  </si>
  <si>
    <t>Independiente</t>
  </si>
  <si>
    <t>Dependiente</t>
  </si>
  <si>
    <t>Promedio</t>
  </si>
  <si>
    <t>Desviación</t>
  </si>
  <si>
    <t>Max</t>
  </si>
  <si>
    <t>Min</t>
  </si>
  <si>
    <t>Correlación</t>
  </si>
  <si>
    <t>Resumen</t>
  </si>
  <si>
    <t>Estadísticas de la regresión</t>
  </si>
  <si>
    <t>Coeficiente de correlación múltiple</t>
  </si>
  <si>
    <t>Coeficiente de determinación R^2</t>
  </si>
  <si>
    <t>R^2  ajustado</t>
  </si>
  <si>
    <t>Error típico</t>
  </si>
  <si>
    <t>Observaciones</t>
  </si>
  <si>
    <t>ANÁLISIS DE VARIANZA</t>
  </si>
  <si>
    <t>Regresión</t>
  </si>
  <si>
    <t>Residuos</t>
  </si>
  <si>
    <t>Total</t>
  </si>
  <si>
    <t>Intercepción</t>
  </si>
  <si>
    <t>Grados de libertad</t>
  </si>
  <si>
    <t>Suma de cuadrados</t>
  </si>
  <si>
    <t>Promedio de los cuadrados</t>
  </si>
  <si>
    <t>F</t>
  </si>
  <si>
    <t>Valor crítico de F</t>
  </si>
  <si>
    <t>Coeficientes</t>
  </si>
  <si>
    <t>Estadístico t</t>
  </si>
  <si>
    <t>Probabilidad</t>
  </si>
  <si>
    <t>Inferior 95%</t>
  </si>
  <si>
    <t>Superior 95%</t>
  </si>
  <si>
    <t>Inferior 95,0%</t>
  </si>
  <si>
    <t>Superior 95,0%</t>
  </si>
  <si>
    <t>Rango de precio</t>
  </si>
  <si>
    <t>Alto</t>
  </si>
  <si>
    <t>Bajo</t>
  </si>
  <si>
    <t>Medio</t>
  </si>
  <si>
    <t>Total general</t>
  </si>
  <si>
    <t>Promedio de User Rating</t>
  </si>
  <si>
    <t>Rango de precios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</si>
</sst>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000000"/>
      <name val="Calibri"/>
      <family val="2"/>
    </font>
    <font>
      <sz val="11"/>
      <color rgb="FF000000"/>
      <name val="Calibri"/>
      <family val="2"/>
    </font>
    <font>
      <i/>
      <sz val="11"/>
      <color rgb="FF000000"/>
      <name val="Calibri"/>
      <family val="2"/>
    </font>
  </fonts>
  <fills count="2">
    <fill>
      <patternFill patternType="none"/>
    </fill>
    <fill>
      <patternFill patternType="gray125"/>
    </fill>
  </fills>
  <borders count="9">
    <border>
      <left/>
      <right/>
      <top/>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1" fillId="0" borderId="0" xfId="0" applyFont="1"/>
    <xf numFmtId="0" fontId="2" fillId="0" borderId="0" xfId="0" applyFont="1"/>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
    </xf>
    <xf numFmtId="0" fontId="3" fillId="0" borderId="2" xfId="0" applyFont="1" applyFill="1" applyBorder="1" applyAlignment="1">
      <alignment horizontal="centerContinuous"/>
    </xf>
    <xf numFmtId="0" fontId="0" fillId="0" borderId="3" xfId="0" pivotButton="1" applyBorder="1"/>
    <xf numFmtId="0" fontId="0" fillId="0" borderId="5" xfId="0" applyBorder="1"/>
    <xf numFmtId="0" fontId="0" fillId="0" borderId="3" xfId="0" applyBorder="1" applyAlignment="1">
      <alignment horizontal="left"/>
    </xf>
    <xf numFmtId="0" fontId="0" fillId="0" borderId="4" xfId="0" applyBorder="1" applyAlignment="1">
      <alignment horizontal="left"/>
    </xf>
    <xf numFmtId="0" fontId="0" fillId="0" borderId="8" xfId="0" applyBorder="1" applyAlignment="1">
      <alignment horizontal="left"/>
    </xf>
    <xf numFmtId="2" fontId="0" fillId="0" borderId="5" xfId="0" applyNumberFormat="1" applyBorder="1"/>
    <xf numFmtId="2" fontId="0" fillId="0" borderId="6" xfId="0" applyNumberFormat="1" applyBorder="1"/>
    <xf numFmtId="2" fontId="0" fillId="0" borderId="7" xfId="0" applyNumberFormat="1" applyBorder="1"/>
  </cellXfs>
  <cellStyles count="1">
    <cellStyle name="Normal" xfId="0" builtinId="0"/>
  </cellStyles>
  <dxfs count="6">
    <dxf>
      <numFmt numFmtId="164" formatCode="0.0"/>
    </dxf>
    <dxf>
      <numFmt numFmtId="2" formatCode="0.00"/>
    </dxf>
    <dxf>
      <numFmt numFmtId="164" formatCode="0.0"/>
    </dxf>
    <dxf>
      <numFmt numFmtId="1" formatCode="0"/>
    </dxf>
    <dxf>
      <numFmt numFmtId="1" formatCode="0"/>
    </dxf>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[bestsellers-clean.xlsx]Tabla dinamica!TablaDinámica3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Promedio de calificación</a:t>
            </a:r>
            <a:r>
              <a:rPr lang="es-CO" baseline="0"/>
              <a:t> por rango de precio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'Tabla dinamica'!$B$3</c:f>
              <c:strCache>
                <c:ptCount val="1"/>
                <c:pt idx="0">
                  <c:v>Total</c:v>
                </c:pt>
              </c:strCache>
            </c:strRef>
          </c:tx>
          <c:spPr>
            <a:solidFill>
              <a:schemeClr val="accent1"/>
            </a:solidFill>
            <a:ln>
              <a:noFill/>
            </a:ln>
            <a:effectLst/>
          </c:spPr>
          <c:invertIfNegative val="0"/>
          <c:cat>
            <c:strRef>
              <c:f>'Tabla dinamica'!$A$4:$A$7</c:f>
              <c:strCache>
                <c:ptCount val="3"/>
                <c:pt idx="0">
                  <c:v>Alto</c:v>
                </c:pt>
                <c:pt idx="1">
                  <c:v>Bajo</c:v>
                </c:pt>
                <c:pt idx="2">
                  <c:v>Medio</c:v>
                </c:pt>
              </c:strCache>
            </c:strRef>
          </c:cat>
          <c:val>
            <c:numRef>
              <c:f>'Tabla dinamica'!$B$4:$B$7</c:f>
              <c:numCache>
                <c:formatCode>0.00</c:formatCode>
                <c:ptCount val="3"/>
                <c:pt idx="0">
                  <c:v>4.5999999999999996</c:v>
                </c:pt>
                <c:pt idx="1">
                  <c:v>4.6059405940594038</c:v>
                </c:pt>
                <c:pt idx="2">
                  <c:v>4.6142857142857139</c:v>
                </c:pt>
              </c:numCache>
            </c:numRef>
          </c:val>
          <c:extLst>
            <c:ext xmlns:c16="http://schemas.microsoft.com/office/drawing/2014/chart" uri="{C3380CC4-5D6E-409C-BE32-E72D297353CC}">
              <c16:uniqueId val="{00000000-24CD-4F69-A71F-8AD913A1E32B}"/>
            </c:ext>
          </c:extLst>
        </c:ser>
        <c:dLbls>
          <c:showLegendKey val="0"/>
          <c:showVal val="0"/>
          <c:showCatName val="0"/>
          <c:showSerName val="0"/>
          <c:showPercent val="0"/>
          <c:showBubbleSize val="0"/>
        </c:dLbls>
        <c:gapWidth val="219"/>
        <c:overlap val="-27"/>
        <c:axId val="936437135"/>
        <c:axId val="367030607"/>
      </c:barChart>
      <c:catAx>
        <c:axId val="93643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7030607"/>
        <c:crosses val="autoZero"/>
        <c:auto val="1"/>
        <c:lblAlgn val="ctr"/>
        <c:lblOffset val="100"/>
        <c:noMultiLvlLbl val="0"/>
      </c:catAx>
      <c:valAx>
        <c:axId val="367030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3643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Hoja1!$B$1</c:f>
              <c:strCache>
                <c:ptCount val="1"/>
                <c:pt idx="0">
                  <c:v>Price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8757217847769026E-2"/>
                  <c:y val="-0.139032516768737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Hoja1!$A$2:$A$313</c:f>
              <c:numCache>
                <c:formatCode>General</c:formatCode>
                <c:ptCount val="312"/>
                <c:pt idx="0">
                  <c:v>4.7</c:v>
                </c:pt>
                <c:pt idx="1">
                  <c:v>4.5999999999999996</c:v>
                </c:pt>
                <c:pt idx="2">
                  <c:v>4.7</c:v>
                </c:pt>
                <c:pt idx="3">
                  <c:v>4.7</c:v>
                </c:pt>
                <c:pt idx="4">
                  <c:v>4.8</c:v>
                </c:pt>
                <c:pt idx="5">
                  <c:v>4.4000000000000004</c:v>
                </c:pt>
                <c:pt idx="6">
                  <c:v>4.7</c:v>
                </c:pt>
                <c:pt idx="7">
                  <c:v>4.7</c:v>
                </c:pt>
                <c:pt idx="8">
                  <c:v>4.7</c:v>
                </c:pt>
                <c:pt idx="9">
                  <c:v>4.5999999999999996</c:v>
                </c:pt>
                <c:pt idx="10">
                  <c:v>4.5999999999999996</c:v>
                </c:pt>
                <c:pt idx="11">
                  <c:v>4.5999999999999996</c:v>
                </c:pt>
                <c:pt idx="12">
                  <c:v>4.5</c:v>
                </c:pt>
                <c:pt idx="13">
                  <c:v>4.5999999999999996</c:v>
                </c:pt>
                <c:pt idx="14">
                  <c:v>4.5</c:v>
                </c:pt>
                <c:pt idx="15">
                  <c:v>4.5999999999999996</c:v>
                </c:pt>
                <c:pt idx="16">
                  <c:v>4.4000000000000004</c:v>
                </c:pt>
                <c:pt idx="17">
                  <c:v>4.5</c:v>
                </c:pt>
                <c:pt idx="18">
                  <c:v>4.8</c:v>
                </c:pt>
                <c:pt idx="19">
                  <c:v>4.5999999999999996</c:v>
                </c:pt>
                <c:pt idx="20">
                  <c:v>3.9</c:v>
                </c:pt>
                <c:pt idx="21">
                  <c:v>4.5999999999999996</c:v>
                </c:pt>
                <c:pt idx="22">
                  <c:v>4.3</c:v>
                </c:pt>
                <c:pt idx="23">
                  <c:v>4.5999999999999996</c:v>
                </c:pt>
                <c:pt idx="24">
                  <c:v>4.7</c:v>
                </c:pt>
                <c:pt idx="25">
                  <c:v>4.2</c:v>
                </c:pt>
                <c:pt idx="26">
                  <c:v>4.5999999999999996</c:v>
                </c:pt>
                <c:pt idx="27">
                  <c:v>4.5999999999999996</c:v>
                </c:pt>
                <c:pt idx="28">
                  <c:v>4.8</c:v>
                </c:pt>
                <c:pt idx="29">
                  <c:v>4.7</c:v>
                </c:pt>
                <c:pt idx="30">
                  <c:v>4.8</c:v>
                </c:pt>
                <c:pt idx="31">
                  <c:v>4.8</c:v>
                </c:pt>
                <c:pt idx="32">
                  <c:v>4.7</c:v>
                </c:pt>
                <c:pt idx="33">
                  <c:v>4.7</c:v>
                </c:pt>
                <c:pt idx="34">
                  <c:v>4.5999999999999996</c:v>
                </c:pt>
                <c:pt idx="35">
                  <c:v>4.5</c:v>
                </c:pt>
                <c:pt idx="36">
                  <c:v>4.9000000000000004</c:v>
                </c:pt>
                <c:pt idx="37">
                  <c:v>4.8</c:v>
                </c:pt>
                <c:pt idx="38">
                  <c:v>4.5999999999999996</c:v>
                </c:pt>
                <c:pt idx="39">
                  <c:v>4.8</c:v>
                </c:pt>
                <c:pt idx="40">
                  <c:v>4.5</c:v>
                </c:pt>
                <c:pt idx="41">
                  <c:v>4.7</c:v>
                </c:pt>
                <c:pt idx="42">
                  <c:v>4.7</c:v>
                </c:pt>
                <c:pt idx="43">
                  <c:v>4.7</c:v>
                </c:pt>
                <c:pt idx="44">
                  <c:v>4.3</c:v>
                </c:pt>
                <c:pt idx="45">
                  <c:v>4.8</c:v>
                </c:pt>
                <c:pt idx="46">
                  <c:v>4.8</c:v>
                </c:pt>
                <c:pt idx="47">
                  <c:v>4.5999999999999996</c:v>
                </c:pt>
                <c:pt idx="48">
                  <c:v>4.8</c:v>
                </c:pt>
                <c:pt idx="49">
                  <c:v>4.4000000000000004</c:v>
                </c:pt>
                <c:pt idx="50">
                  <c:v>4.5999999999999996</c:v>
                </c:pt>
                <c:pt idx="51">
                  <c:v>4.3</c:v>
                </c:pt>
                <c:pt idx="52">
                  <c:v>4.2</c:v>
                </c:pt>
                <c:pt idx="53">
                  <c:v>4.8</c:v>
                </c:pt>
                <c:pt idx="54">
                  <c:v>4.5999999999999996</c:v>
                </c:pt>
                <c:pt idx="55">
                  <c:v>4.5999999999999996</c:v>
                </c:pt>
                <c:pt idx="56">
                  <c:v>4.5</c:v>
                </c:pt>
                <c:pt idx="57">
                  <c:v>4.8</c:v>
                </c:pt>
                <c:pt idx="58">
                  <c:v>4.8</c:v>
                </c:pt>
                <c:pt idx="59">
                  <c:v>4.8</c:v>
                </c:pt>
                <c:pt idx="60">
                  <c:v>4.5999999999999996</c:v>
                </c:pt>
                <c:pt idx="61">
                  <c:v>4.5999999999999996</c:v>
                </c:pt>
                <c:pt idx="62">
                  <c:v>4.5</c:v>
                </c:pt>
                <c:pt idx="63">
                  <c:v>4.5999999999999996</c:v>
                </c:pt>
                <c:pt idx="64">
                  <c:v>4.7</c:v>
                </c:pt>
                <c:pt idx="65">
                  <c:v>4.8</c:v>
                </c:pt>
                <c:pt idx="66">
                  <c:v>4.9000000000000004</c:v>
                </c:pt>
                <c:pt idx="67">
                  <c:v>4.9000000000000004</c:v>
                </c:pt>
                <c:pt idx="68">
                  <c:v>4.9000000000000004</c:v>
                </c:pt>
                <c:pt idx="69">
                  <c:v>4.9000000000000004</c:v>
                </c:pt>
                <c:pt idx="70">
                  <c:v>4.9000000000000004</c:v>
                </c:pt>
                <c:pt idx="71">
                  <c:v>4.9000000000000004</c:v>
                </c:pt>
                <c:pt idx="72">
                  <c:v>4.8</c:v>
                </c:pt>
                <c:pt idx="73">
                  <c:v>4.5999999999999996</c:v>
                </c:pt>
                <c:pt idx="74">
                  <c:v>4.5</c:v>
                </c:pt>
                <c:pt idx="75">
                  <c:v>4.5</c:v>
                </c:pt>
                <c:pt idx="76">
                  <c:v>4.3</c:v>
                </c:pt>
                <c:pt idx="77">
                  <c:v>4.5</c:v>
                </c:pt>
                <c:pt idx="78">
                  <c:v>4.7</c:v>
                </c:pt>
                <c:pt idx="79">
                  <c:v>4.7</c:v>
                </c:pt>
                <c:pt idx="80">
                  <c:v>4.7</c:v>
                </c:pt>
                <c:pt idx="81">
                  <c:v>4.7</c:v>
                </c:pt>
                <c:pt idx="82">
                  <c:v>4.5999999999999996</c:v>
                </c:pt>
                <c:pt idx="83">
                  <c:v>4.7</c:v>
                </c:pt>
                <c:pt idx="84">
                  <c:v>4.4000000000000004</c:v>
                </c:pt>
                <c:pt idx="85">
                  <c:v>4.4000000000000004</c:v>
                </c:pt>
                <c:pt idx="86">
                  <c:v>4.5</c:v>
                </c:pt>
                <c:pt idx="87">
                  <c:v>3.8</c:v>
                </c:pt>
                <c:pt idx="88">
                  <c:v>4.5</c:v>
                </c:pt>
                <c:pt idx="89">
                  <c:v>4.2</c:v>
                </c:pt>
                <c:pt idx="90">
                  <c:v>4.7</c:v>
                </c:pt>
                <c:pt idx="91">
                  <c:v>4.4000000000000004</c:v>
                </c:pt>
                <c:pt idx="92">
                  <c:v>4.7</c:v>
                </c:pt>
                <c:pt idx="93">
                  <c:v>4.4000000000000004</c:v>
                </c:pt>
                <c:pt idx="94">
                  <c:v>4.5999999999999996</c:v>
                </c:pt>
                <c:pt idx="95">
                  <c:v>4.5</c:v>
                </c:pt>
                <c:pt idx="96">
                  <c:v>4.5999999999999996</c:v>
                </c:pt>
                <c:pt idx="97">
                  <c:v>4.8</c:v>
                </c:pt>
                <c:pt idx="98">
                  <c:v>4.5999999999999996</c:v>
                </c:pt>
                <c:pt idx="99">
                  <c:v>4.5999999999999996</c:v>
                </c:pt>
                <c:pt idx="100">
                  <c:v>4.5999999999999996</c:v>
                </c:pt>
                <c:pt idx="101">
                  <c:v>3.6</c:v>
                </c:pt>
                <c:pt idx="102">
                  <c:v>4.8</c:v>
                </c:pt>
                <c:pt idx="103">
                  <c:v>4.5999999999999996</c:v>
                </c:pt>
                <c:pt idx="104">
                  <c:v>4</c:v>
                </c:pt>
                <c:pt idx="105">
                  <c:v>4.5999999999999996</c:v>
                </c:pt>
                <c:pt idx="106">
                  <c:v>4.5</c:v>
                </c:pt>
                <c:pt idx="107">
                  <c:v>4.8</c:v>
                </c:pt>
                <c:pt idx="108">
                  <c:v>4.9000000000000004</c:v>
                </c:pt>
                <c:pt idx="109">
                  <c:v>4.5999999999999996</c:v>
                </c:pt>
                <c:pt idx="110">
                  <c:v>4.4000000000000004</c:v>
                </c:pt>
                <c:pt idx="111">
                  <c:v>4.8</c:v>
                </c:pt>
                <c:pt idx="112">
                  <c:v>4.9000000000000004</c:v>
                </c:pt>
                <c:pt idx="113">
                  <c:v>4.8</c:v>
                </c:pt>
                <c:pt idx="114">
                  <c:v>4.9000000000000004</c:v>
                </c:pt>
                <c:pt idx="115">
                  <c:v>4</c:v>
                </c:pt>
                <c:pt idx="116">
                  <c:v>4.9000000000000004</c:v>
                </c:pt>
                <c:pt idx="117">
                  <c:v>4.9000000000000004</c:v>
                </c:pt>
                <c:pt idx="118">
                  <c:v>4.9000000000000004</c:v>
                </c:pt>
                <c:pt idx="119">
                  <c:v>4.7</c:v>
                </c:pt>
                <c:pt idx="120">
                  <c:v>4.8</c:v>
                </c:pt>
                <c:pt idx="121">
                  <c:v>4.8</c:v>
                </c:pt>
                <c:pt idx="122">
                  <c:v>4.7</c:v>
                </c:pt>
                <c:pt idx="123">
                  <c:v>4.4000000000000004</c:v>
                </c:pt>
                <c:pt idx="124">
                  <c:v>4.8</c:v>
                </c:pt>
                <c:pt idx="125">
                  <c:v>4.7</c:v>
                </c:pt>
                <c:pt idx="126">
                  <c:v>4.3</c:v>
                </c:pt>
                <c:pt idx="127">
                  <c:v>4.8</c:v>
                </c:pt>
                <c:pt idx="128">
                  <c:v>4.9000000000000004</c:v>
                </c:pt>
                <c:pt idx="129">
                  <c:v>4.7</c:v>
                </c:pt>
                <c:pt idx="130">
                  <c:v>4.8</c:v>
                </c:pt>
                <c:pt idx="131">
                  <c:v>4.5999999999999996</c:v>
                </c:pt>
                <c:pt idx="132">
                  <c:v>4.8</c:v>
                </c:pt>
                <c:pt idx="133">
                  <c:v>4.3</c:v>
                </c:pt>
                <c:pt idx="134">
                  <c:v>4.4000000000000004</c:v>
                </c:pt>
                <c:pt idx="135">
                  <c:v>4.0999999999999996</c:v>
                </c:pt>
                <c:pt idx="136">
                  <c:v>4.5999999999999996</c:v>
                </c:pt>
                <c:pt idx="137">
                  <c:v>4.4000000000000004</c:v>
                </c:pt>
                <c:pt idx="138">
                  <c:v>4.8</c:v>
                </c:pt>
                <c:pt idx="139">
                  <c:v>4.9000000000000004</c:v>
                </c:pt>
                <c:pt idx="140">
                  <c:v>4.5999999999999996</c:v>
                </c:pt>
                <c:pt idx="141">
                  <c:v>4.5</c:v>
                </c:pt>
                <c:pt idx="142">
                  <c:v>4.5999999999999996</c:v>
                </c:pt>
                <c:pt idx="143">
                  <c:v>4.5</c:v>
                </c:pt>
                <c:pt idx="144">
                  <c:v>4.5999999999999996</c:v>
                </c:pt>
                <c:pt idx="145">
                  <c:v>4.7</c:v>
                </c:pt>
                <c:pt idx="146">
                  <c:v>4.5999999999999996</c:v>
                </c:pt>
                <c:pt idx="147">
                  <c:v>4.5999999999999996</c:v>
                </c:pt>
                <c:pt idx="148">
                  <c:v>4.8</c:v>
                </c:pt>
                <c:pt idx="149">
                  <c:v>4.8</c:v>
                </c:pt>
                <c:pt idx="150">
                  <c:v>4.5</c:v>
                </c:pt>
                <c:pt idx="151">
                  <c:v>4.9000000000000004</c:v>
                </c:pt>
                <c:pt idx="152">
                  <c:v>4.5999999999999996</c:v>
                </c:pt>
                <c:pt idx="153">
                  <c:v>4.5</c:v>
                </c:pt>
                <c:pt idx="154">
                  <c:v>4.5</c:v>
                </c:pt>
                <c:pt idx="155">
                  <c:v>4.4000000000000004</c:v>
                </c:pt>
                <c:pt idx="156">
                  <c:v>4.8</c:v>
                </c:pt>
                <c:pt idx="157">
                  <c:v>4.5</c:v>
                </c:pt>
                <c:pt idx="158">
                  <c:v>4.0999999999999996</c:v>
                </c:pt>
                <c:pt idx="159">
                  <c:v>4.9000000000000004</c:v>
                </c:pt>
                <c:pt idx="160">
                  <c:v>4.5</c:v>
                </c:pt>
                <c:pt idx="161">
                  <c:v>4.5</c:v>
                </c:pt>
                <c:pt idx="162">
                  <c:v>4.2</c:v>
                </c:pt>
                <c:pt idx="163">
                  <c:v>4.8</c:v>
                </c:pt>
                <c:pt idx="164">
                  <c:v>4.8</c:v>
                </c:pt>
                <c:pt idx="165">
                  <c:v>4.5</c:v>
                </c:pt>
                <c:pt idx="166">
                  <c:v>4.7</c:v>
                </c:pt>
                <c:pt idx="167">
                  <c:v>4.8</c:v>
                </c:pt>
                <c:pt idx="168">
                  <c:v>4.7</c:v>
                </c:pt>
                <c:pt idx="169">
                  <c:v>4.4000000000000004</c:v>
                </c:pt>
                <c:pt idx="170">
                  <c:v>4.5999999999999996</c:v>
                </c:pt>
                <c:pt idx="171">
                  <c:v>4.5</c:v>
                </c:pt>
                <c:pt idx="172">
                  <c:v>4.8</c:v>
                </c:pt>
                <c:pt idx="173">
                  <c:v>4.8</c:v>
                </c:pt>
                <c:pt idx="174">
                  <c:v>4.5999999999999996</c:v>
                </c:pt>
                <c:pt idx="175">
                  <c:v>4.7</c:v>
                </c:pt>
                <c:pt idx="176">
                  <c:v>4.5999999999999996</c:v>
                </c:pt>
                <c:pt idx="177">
                  <c:v>4.9000000000000004</c:v>
                </c:pt>
                <c:pt idx="178">
                  <c:v>4.9000000000000004</c:v>
                </c:pt>
                <c:pt idx="179">
                  <c:v>4.8</c:v>
                </c:pt>
                <c:pt idx="180">
                  <c:v>4.2</c:v>
                </c:pt>
                <c:pt idx="181">
                  <c:v>4.5999999999999996</c:v>
                </c:pt>
                <c:pt idx="182">
                  <c:v>4.5</c:v>
                </c:pt>
                <c:pt idx="183">
                  <c:v>4.3</c:v>
                </c:pt>
                <c:pt idx="184">
                  <c:v>4.5999999999999996</c:v>
                </c:pt>
                <c:pt idx="185">
                  <c:v>4.5999999999999996</c:v>
                </c:pt>
                <c:pt idx="186">
                  <c:v>4.7</c:v>
                </c:pt>
                <c:pt idx="187">
                  <c:v>4.8</c:v>
                </c:pt>
                <c:pt idx="188">
                  <c:v>4.8</c:v>
                </c:pt>
                <c:pt idx="189">
                  <c:v>4.7</c:v>
                </c:pt>
                <c:pt idx="190">
                  <c:v>4.3</c:v>
                </c:pt>
                <c:pt idx="191">
                  <c:v>4.5</c:v>
                </c:pt>
                <c:pt idx="192">
                  <c:v>4.8</c:v>
                </c:pt>
                <c:pt idx="193">
                  <c:v>4.5999999999999996</c:v>
                </c:pt>
                <c:pt idx="194">
                  <c:v>4.7</c:v>
                </c:pt>
                <c:pt idx="195">
                  <c:v>4.5999999999999996</c:v>
                </c:pt>
                <c:pt idx="196">
                  <c:v>4.9000000000000004</c:v>
                </c:pt>
                <c:pt idx="197">
                  <c:v>4.9000000000000004</c:v>
                </c:pt>
                <c:pt idx="198">
                  <c:v>4.8</c:v>
                </c:pt>
                <c:pt idx="199">
                  <c:v>4.5999999999999996</c:v>
                </c:pt>
                <c:pt idx="200">
                  <c:v>4.8</c:v>
                </c:pt>
                <c:pt idx="201">
                  <c:v>4.7</c:v>
                </c:pt>
                <c:pt idx="202">
                  <c:v>4.7</c:v>
                </c:pt>
                <c:pt idx="203">
                  <c:v>4.8</c:v>
                </c:pt>
                <c:pt idx="204">
                  <c:v>4.0999999999999996</c:v>
                </c:pt>
                <c:pt idx="205">
                  <c:v>4.7</c:v>
                </c:pt>
                <c:pt idx="206">
                  <c:v>4.5999999999999996</c:v>
                </c:pt>
                <c:pt idx="207">
                  <c:v>4.5999999999999996</c:v>
                </c:pt>
                <c:pt idx="208">
                  <c:v>4.9000000000000004</c:v>
                </c:pt>
                <c:pt idx="209">
                  <c:v>4</c:v>
                </c:pt>
                <c:pt idx="210">
                  <c:v>4.5</c:v>
                </c:pt>
                <c:pt idx="211">
                  <c:v>4.5999999999999996</c:v>
                </c:pt>
                <c:pt idx="212">
                  <c:v>4.5</c:v>
                </c:pt>
                <c:pt idx="213">
                  <c:v>4.4000000000000004</c:v>
                </c:pt>
                <c:pt idx="214">
                  <c:v>4.3</c:v>
                </c:pt>
                <c:pt idx="215">
                  <c:v>4.3</c:v>
                </c:pt>
                <c:pt idx="216">
                  <c:v>4.7</c:v>
                </c:pt>
                <c:pt idx="217">
                  <c:v>4.8</c:v>
                </c:pt>
                <c:pt idx="218">
                  <c:v>4.5999999999999996</c:v>
                </c:pt>
                <c:pt idx="219">
                  <c:v>4.7</c:v>
                </c:pt>
                <c:pt idx="220">
                  <c:v>4.5999999999999996</c:v>
                </c:pt>
                <c:pt idx="221">
                  <c:v>4.7</c:v>
                </c:pt>
                <c:pt idx="222">
                  <c:v>4.7</c:v>
                </c:pt>
                <c:pt idx="223">
                  <c:v>4.8</c:v>
                </c:pt>
                <c:pt idx="224">
                  <c:v>4.2</c:v>
                </c:pt>
                <c:pt idx="225">
                  <c:v>4.8</c:v>
                </c:pt>
                <c:pt idx="226">
                  <c:v>4.7</c:v>
                </c:pt>
                <c:pt idx="227">
                  <c:v>4.5999999999999996</c:v>
                </c:pt>
                <c:pt idx="228">
                  <c:v>4.8</c:v>
                </c:pt>
                <c:pt idx="229">
                  <c:v>4.8</c:v>
                </c:pt>
                <c:pt idx="230">
                  <c:v>3.3</c:v>
                </c:pt>
                <c:pt idx="231">
                  <c:v>4.7</c:v>
                </c:pt>
                <c:pt idx="232">
                  <c:v>4.3</c:v>
                </c:pt>
                <c:pt idx="233">
                  <c:v>4.3</c:v>
                </c:pt>
                <c:pt idx="234">
                  <c:v>4.8</c:v>
                </c:pt>
                <c:pt idx="235">
                  <c:v>4.4000000000000004</c:v>
                </c:pt>
                <c:pt idx="236">
                  <c:v>4.8</c:v>
                </c:pt>
                <c:pt idx="237">
                  <c:v>4.0999999999999996</c:v>
                </c:pt>
                <c:pt idx="238">
                  <c:v>4</c:v>
                </c:pt>
                <c:pt idx="239">
                  <c:v>4.7</c:v>
                </c:pt>
                <c:pt idx="240">
                  <c:v>4.5999999999999996</c:v>
                </c:pt>
                <c:pt idx="241">
                  <c:v>4.5999999999999996</c:v>
                </c:pt>
                <c:pt idx="242">
                  <c:v>4.7</c:v>
                </c:pt>
                <c:pt idx="243">
                  <c:v>4.8</c:v>
                </c:pt>
                <c:pt idx="244">
                  <c:v>4.0999999999999996</c:v>
                </c:pt>
                <c:pt idx="245">
                  <c:v>4.7</c:v>
                </c:pt>
                <c:pt idx="246">
                  <c:v>4.7</c:v>
                </c:pt>
                <c:pt idx="247">
                  <c:v>4.7</c:v>
                </c:pt>
                <c:pt idx="248">
                  <c:v>4.4000000000000004</c:v>
                </c:pt>
                <c:pt idx="249">
                  <c:v>4.8</c:v>
                </c:pt>
                <c:pt idx="250">
                  <c:v>3.9</c:v>
                </c:pt>
                <c:pt idx="251">
                  <c:v>4.4000000000000004</c:v>
                </c:pt>
                <c:pt idx="252">
                  <c:v>4.5</c:v>
                </c:pt>
                <c:pt idx="253">
                  <c:v>4.7</c:v>
                </c:pt>
                <c:pt idx="254">
                  <c:v>4.3</c:v>
                </c:pt>
                <c:pt idx="255">
                  <c:v>4.5999999999999996</c:v>
                </c:pt>
                <c:pt idx="256">
                  <c:v>4.8</c:v>
                </c:pt>
                <c:pt idx="257">
                  <c:v>4.8</c:v>
                </c:pt>
                <c:pt idx="258">
                  <c:v>4.8</c:v>
                </c:pt>
                <c:pt idx="259">
                  <c:v>4.7</c:v>
                </c:pt>
                <c:pt idx="260">
                  <c:v>4.7</c:v>
                </c:pt>
                <c:pt idx="261">
                  <c:v>4.8</c:v>
                </c:pt>
                <c:pt idx="262">
                  <c:v>4.7</c:v>
                </c:pt>
                <c:pt idx="263">
                  <c:v>4.3</c:v>
                </c:pt>
                <c:pt idx="264">
                  <c:v>4.7</c:v>
                </c:pt>
                <c:pt idx="265">
                  <c:v>4.8</c:v>
                </c:pt>
                <c:pt idx="266">
                  <c:v>4.9000000000000004</c:v>
                </c:pt>
                <c:pt idx="267">
                  <c:v>4.4000000000000004</c:v>
                </c:pt>
                <c:pt idx="268">
                  <c:v>4.5</c:v>
                </c:pt>
                <c:pt idx="269">
                  <c:v>4.4000000000000004</c:v>
                </c:pt>
                <c:pt idx="270">
                  <c:v>4.8</c:v>
                </c:pt>
                <c:pt idx="271">
                  <c:v>4.2</c:v>
                </c:pt>
                <c:pt idx="272">
                  <c:v>4.8</c:v>
                </c:pt>
                <c:pt idx="273">
                  <c:v>4.9000000000000004</c:v>
                </c:pt>
                <c:pt idx="274">
                  <c:v>4.8</c:v>
                </c:pt>
                <c:pt idx="275">
                  <c:v>4.7</c:v>
                </c:pt>
                <c:pt idx="276">
                  <c:v>4.5</c:v>
                </c:pt>
                <c:pt idx="277">
                  <c:v>4.8</c:v>
                </c:pt>
                <c:pt idx="278">
                  <c:v>4.5999999999999996</c:v>
                </c:pt>
                <c:pt idx="279">
                  <c:v>4.8</c:v>
                </c:pt>
                <c:pt idx="280">
                  <c:v>4.4000000000000004</c:v>
                </c:pt>
                <c:pt idx="281">
                  <c:v>4.3</c:v>
                </c:pt>
                <c:pt idx="282">
                  <c:v>4.3</c:v>
                </c:pt>
                <c:pt idx="283">
                  <c:v>4.8</c:v>
                </c:pt>
                <c:pt idx="284">
                  <c:v>4.8</c:v>
                </c:pt>
                <c:pt idx="285">
                  <c:v>4.8</c:v>
                </c:pt>
                <c:pt idx="286">
                  <c:v>4.5</c:v>
                </c:pt>
                <c:pt idx="287">
                  <c:v>4.4000000000000004</c:v>
                </c:pt>
                <c:pt idx="288">
                  <c:v>4.8</c:v>
                </c:pt>
                <c:pt idx="289">
                  <c:v>4.5999999999999996</c:v>
                </c:pt>
                <c:pt idx="290">
                  <c:v>4.3</c:v>
                </c:pt>
                <c:pt idx="291">
                  <c:v>4.3</c:v>
                </c:pt>
                <c:pt idx="292">
                  <c:v>4.5999999999999996</c:v>
                </c:pt>
                <c:pt idx="293">
                  <c:v>4.5999999999999996</c:v>
                </c:pt>
                <c:pt idx="294">
                  <c:v>4.8</c:v>
                </c:pt>
                <c:pt idx="295">
                  <c:v>4.5999999999999996</c:v>
                </c:pt>
                <c:pt idx="296">
                  <c:v>4.5999999999999996</c:v>
                </c:pt>
                <c:pt idx="297">
                  <c:v>4.5</c:v>
                </c:pt>
                <c:pt idx="298">
                  <c:v>4.8</c:v>
                </c:pt>
                <c:pt idx="299">
                  <c:v>4.5999999999999996</c:v>
                </c:pt>
                <c:pt idx="300">
                  <c:v>4.7</c:v>
                </c:pt>
                <c:pt idx="301">
                  <c:v>4.7</c:v>
                </c:pt>
                <c:pt idx="302">
                  <c:v>4.7</c:v>
                </c:pt>
                <c:pt idx="303">
                  <c:v>4.4000000000000004</c:v>
                </c:pt>
                <c:pt idx="304">
                  <c:v>4.4000000000000004</c:v>
                </c:pt>
                <c:pt idx="305">
                  <c:v>4.7</c:v>
                </c:pt>
                <c:pt idx="306">
                  <c:v>4.7</c:v>
                </c:pt>
                <c:pt idx="307">
                  <c:v>4.8</c:v>
                </c:pt>
                <c:pt idx="308">
                  <c:v>4.7</c:v>
                </c:pt>
                <c:pt idx="309">
                  <c:v>4.9000000000000004</c:v>
                </c:pt>
                <c:pt idx="310">
                  <c:v>4.5999999999999996</c:v>
                </c:pt>
                <c:pt idx="311">
                  <c:v>4.9000000000000004</c:v>
                </c:pt>
              </c:numCache>
            </c:numRef>
          </c:xVal>
          <c:yVal>
            <c:numRef>
              <c:f>Hoja1!$B$2:$B$313</c:f>
              <c:numCache>
                <c:formatCode>General</c:formatCode>
                <c:ptCount val="312"/>
                <c:pt idx="0">
                  <c:v>8</c:v>
                </c:pt>
                <c:pt idx="1">
                  <c:v>22</c:v>
                </c:pt>
                <c:pt idx="2">
                  <c:v>15</c:v>
                </c:pt>
                <c:pt idx="3">
                  <c:v>6</c:v>
                </c:pt>
                <c:pt idx="4">
                  <c:v>12</c:v>
                </c:pt>
                <c:pt idx="5">
                  <c:v>11</c:v>
                </c:pt>
                <c:pt idx="6">
                  <c:v>30</c:v>
                </c:pt>
                <c:pt idx="7">
                  <c:v>15</c:v>
                </c:pt>
                <c:pt idx="8">
                  <c:v>3</c:v>
                </c:pt>
                <c:pt idx="9">
                  <c:v>8</c:v>
                </c:pt>
                <c:pt idx="10">
                  <c:v>2</c:v>
                </c:pt>
                <c:pt idx="11">
                  <c:v>32</c:v>
                </c:pt>
                <c:pt idx="12">
                  <c:v>5</c:v>
                </c:pt>
                <c:pt idx="13">
                  <c:v>17</c:v>
                </c:pt>
                <c:pt idx="14">
                  <c:v>4</c:v>
                </c:pt>
                <c:pt idx="15">
                  <c:v>6</c:v>
                </c:pt>
                <c:pt idx="16">
                  <c:v>6</c:v>
                </c:pt>
                <c:pt idx="17">
                  <c:v>8</c:v>
                </c:pt>
                <c:pt idx="18">
                  <c:v>13</c:v>
                </c:pt>
                <c:pt idx="19">
                  <c:v>14</c:v>
                </c:pt>
                <c:pt idx="20">
                  <c:v>13</c:v>
                </c:pt>
                <c:pt idx="21">
                  <c:v>9</c:v>
                </c:pt>
                <c:pt idx="22">
                  <c:v>13</c:v>
                </c:pt>
                <c:pt idx="23">
                  <c:v>5</c:v>
                </c:pt>
                <c:pt idx="24">
                  <c:v>9</c:v>
                </c:pt>
                <c:pt idx="25">
                  <c:v>14</c:v>
                </c:pt>
                <c:pt idx="26">
                  <c:v>5</c:v>
                </c:pt>
                <c:pt idx="27">
                  <c:v>11</c:v>
                </c:pt>
                <c:pt idx="28">
                  <c:v>24</c:v>
                </c:pt>
                <c:pt idx="29">
                  <c:v>21</c:v>
                </c:pt>
                <c:pt idx="30">
                  <c:v>11</c:v>
                </c:pt>
                <c:pt idx="31">
                  <c:v>15</c:v>
                </c:pt>
                <c:pt idx="32">
                  <c:v>13</c:v>
                </c:pt>
                <c:pt idx="33">
                  <c:v>18</c:v>
                </c:pt>
                <c:pt idx="34">
                  <c:v>13</c:v>
                </c:pt>
                <c:pt idx="35">
                  <c:v>8</c:v>
                </c:pt>
                <c:pt idx="36">
                  <c:v>5</c:v>
                </c:pt>
                <c:pt idx="37">
                  <c:v>0</c:v>
                </c:pt>
                <c:pt idx="38">
                  <c:v>4</c:v>
                </c:pt>
                <c:pt idx="39">
                  <c:v>18</c:v>
                </c:pt>
                <c:pt idx="40">
                  <c:v>28</c:v>
                </c:pt>
                <c:pt idx="41">
                  <c:v>11</c:v>
                </c:pt>
                <c:pt idx="42">
                  <c:v>16</c:v>
                </c:pt>
                <c:pt idx="43">
                  <c:v>14</c:v>
                </c:pt>
                <c:pt idx="44">
                  <c:v>8</c:v>
                </c:pt>
                <c:pt idx="45">
                  <c:v>4</c:v>
                </c:pt>
                <c:pt idx="46">
                  <c:v>5</c:v>
                </c:pt>
                <c:pt idx="47">
                  <c:v>11</c:v>
                </c:pt>
                <c:pt idx="48">
                  <c:v>10</c:v>
                </c:pt>
                <c:pt idx="49">
                  <c:v>13</c:v>
                </c:pt>
                <c:pt idx="50">
                  <c:v>4</c:v>
                </c:pt>
                <c:pt idx="51">
                  <c:v>8</c:v>
                </c:pt>
                <c:pt idx="52">
                  <c:v>4</c:v>
                </c:pt>
                <c:pt idx="53">
                  <c:v>5</c:v>
                </c:pt>
                <c:pt idx="54">
                  <c:v>17</c:v>
                </c:pt>
                <c:pt idx="55">
                  <c:v>15</c:v>
                </c:pt>
                <c:pt idx="56">
                  <c:v>105</c:v>
                </c:pt>
                <c:pt idx="57">
                  <c:v>0</c:v>
                </c:pt>
                <c:pt idx="58">
                  <c:v>15</c:v>
                </c:pt>
                <c:pt idx="59">
                  <c:v>22</c:v>
                </c:pt>
                <c:pt idx="60">
                  <c:v>5</c:v>
                </c:pt>
                <c:pt idx="61">
                  <c:v>15</c:v>
                </c:pt>
                <c:pt idx="62">
                  <c:v>6</c:v>
                </c:pt>
                <c:pt idx="63">
                  <c:v>6</c:v>
                </c:pt>
                <c:pt idx="64">
                  <c:v>13</c:v>
                </c:pt>
                <c:pt idx="65">
                  <c:v>12</c:v>
                </c:pt>
                <c:pt idx="66">
                  <c:v>6</c:v>
                </c:pt>
                <c:pt idx="67">
                  <c:v>8</c:v>
                </c:pt>
                <c:pt idx="68">
                  <c:v>4</c:v>
                </c:pt>
                <c:pt idx="69">
                  <c:v>8</c:v>
                </c:pt>
                <c:pt idx="70">
                  <c:v>8</c:v>
                </c:pt>
                <c:pt idx="71">
                  <c:v>6</c:v>
                </c:pt>
                <c:pt idx="72">
                  <c:v>20</c:v>
                </c:pt>
                <c:pt idx="73">
                  <c:v>5</c:v>
                </c:pt>
                <c:pt idx="74">
                  <c:v>16</c:v>
                </c:pt>
                <c:pt idx="75">
                  <c:v>1</c:v>
                </c:pt>
                <c:pt idx="76">
                  <c:v>14</c:v>
                </c:pt>
                <c:pt idx="77">
                  <c:v>9</c:v>
                </c:pt>
                <c:pt idx="78">
                  <c:v>7</c:v>
                </c:pt>
                <c:pt idx="79">
                  <c:v>18</c:v>
                </c:pt>
                <c:pt idx="80">
                  <c:v>15</c:v>
                </c:pt>
                <c:pt idx="81">
                  <c:v>9</c:v>
                </c:pt>
                <c:pt idx="82">
                  <c:v>8</c:v>
                </c:pt>
                <c:pt idx="83">
                  <c:v>15</c:v>
                </c:pt>
                <c:pt idx="84">
                  <c:v>2</c:v>
                </c:pt>
                <c:pt idx="85">
                  <c:v>7</c:v>
                </c:pt>
                <c:pt idx="86">
                  <c:v>11</c:v>
                </c:pt>
                <c:pt idx="87">
                  <c:v>14</c:v>
                </c:pt>
                <c:pt idx="88">
                  <c:v>32</c:v>
                </c:pt>
                <c:pt idx="89">
                  <c:v>6</c:v>
                </c:pt>
                <c:pt idx="90">
                  <c:v>4</c:v>
                </c:pt>
                <c:pt idx="91">
                  <c:v>9</c:v>
                </c:pt>
                <c:pt idx="92">
                  <c:v>0</c:v>
                </c:pt>
                <c:pt idx="93">
                  <c:v>9</c:v>
                </c:pt>
                <c:pt idx="94">
                  <c:v>5</c:v>
                </c:pt>
                <c:pt idx="95">
                  <c:v>20</c:v>
                </c:pt>
                <c:pt idx="96">
                  <c:v>16</c:v>
                </c:pt>
                <c:pt idx="97">
                  <c:v>4</c:v>
                </c:pt>
                <c:pt idx="98">
                  <c:v>12</c:v>
                </c:pt>
                <c:pt idx="99">
                  <c:v>12</c:v>
                </c:pt>
                <c:pt idx="100">
                  <c:v>11</c:v>
                </c:pt>
                <c:pt idx="101">
                  <c:v>19</c:v>
                </c:pt>
                <c:pt idx="102">
                  <c:v>9</c:v>
                </c:pt>
                <c:pt idx="103">
                  <c:v>6</c:v>
                </c:pt>
                <c:pt idx="104">
                  <c:v>10</c:v>
                </c:pt>
                <c:pt idx="105">
                  <c:v>6</c:v>
                </c:pt>
                <c:pt idx="106">
                  <c:v>14</c:v>
                </c:pt>
                <c:pt idx="107">
                  <c:v>5</c:v>
                </c:pt>
                <c:pt idx="108">
                  <c:v>7</c:v>
                </c:pt>
                <c:pt idx="109">
                  <c:v>10</c:v>
                </c:pt>
                <c:pt idx="110">
                  <c:v>14</c:v>
                </c:pt>
                <c:pt idx="111">
                  <c:v>7</c:v>
                </c:pt>
                <c:pt idx="112">
                  <c:v>54</c:v>
                </c:pt>
                <c:pt idx="113">
                  <c:v>11</c:v>
                </c:pt>
                <c:pt idx="114">
                  <c:v>30</c:v>
                </c:pt>
                <c:pt idx="115">
                  <c:v>12</c:v>
                </c:pt>
                <c:pt idx="116">
                  <c:v>18</c:v>
                </c:pt>
                <c:pt idx="117">
                  <c:v>30</c:v>
                </c:pt>
                <c:pt idx="118">
                  <c:v>22</c:v>
                </c:pt>
                <c:pt idx="119">
                  <c:v>9</c:v>
                </c:pt>
                <c:pt idx="120">
                  <c:v>52</c:v>
                </c:pt>
                <c:pt idx="121">
                  <c:v>4</c:v>
                </c:pt>
                <c:pt idx="122">
                  <c:v>10</c:v>
                </c:pt>
                <c:pt idx="123">
                  <c:v>14</c:v>
                </c:pt>
                <c:pt idx="124">
                  <c:v>22</c:v>
                </c:pt>
                <c:pt idx="125">
                  <c:v>11</c:v>
                </c:pt>
                <c:pt idx="126">
                  <c:v>16</c:v>
                </c:pt>
                <c:pt idx="127">
                  <c:v>15</c:v>
                </c:pt>
                <c:pt idx="128">
                  <c:v>17</c:v>
                </c:pt>
                <c:pt idx="129">
                  <c:v>17</c:v>
                </c:pt>
                <c:pt idx="130">
                  <c:v>7</c:v>
                </c:pt>
                <c:pt idx="131">
                  <c:v>7</c:v>
                </c:pt>
                <c:pt idx="132">
                  <c:v>4</c:v>
                </c:pt>
                <c:pt idx="133">
                  <c:v>9</c:v>
                </c:pt>
                <c:pt idx="134">
                  <c:v>21</c:v>
                </c:pt>
                <c:pt idx="135">
                  <c:v>14</c:v>
                </c:pt>
                <c:pt idx="136">
                  <c:v>20</c:v>
                </c:pt>
                <c:pt idx="137">
                  <c:v>13</c:v>
                </c:pt>
                <c:pt idx="138">
                  <c:v>12</c:v>
                </c:pt>
                <c:pt idx="139">
                  <c:v>8</c:v>
                </c:pt>
                <c:pt idx="140">
                  <c:v>0</c:v>
                </c:pt>
                <c:pt idx="141">
                  <c:v>12</c:v>
                </c:pt>
                <c:pt idx="142">
                  <c:v>17</c:v>
                </c:pt>
                <c:pt idx="143">
                  <c:v>12</c:v>
                </c:pt>
                <c:pt idx="144">
                  <c:v>25</c:v>
                </c:pt>
                <c:pt idx="145">
                  <c:v>10</c:v>
                </c:pt>
                <c:pt idx="146">
                  <c:v>6</c:v>
                </c:pt>
                <c:pt idx="147">
                  <c:v>5</c:v>
                </c:pt>
                <c:pt idx="148">
                  <c:v>6</c:v>
                </c:pt>
                <c:pt idx="149">
                  <c:v>8</c:v>
                </c:pt>
                <c:pt idx="150">
                  <c:v>4</c:v>
                </c:pt>
                <c:pt idx="151">
                  <c:v>13</c:v>
                </c:pt>
                <c:pt idx="152">
                  <c:v>4</c:v>
                </c:pt>
                <c:pt idx="153">
                  <c:v>13</c:v>
                </c:pt>
                <c:pt idx="154">
                  <c:v>21</c:v>
                </c:pt>
                <c:pt idx="155">
                  <c:v>6</c:v>
                </c:pt>
                <c:pt idx="156">
                  <c:v>15</c:v>
                </c:pt>
                <c:pt idx="157">
                  <c:v>18</c:v>
                </c:pt>
                <c:pt idx="158">
                  <c:v>10</c:v>
                </c:pt>
                <c:pt idx="159">
                  <c:v>0</c:v>
                </c:pt>
                <c:pt idx="160">
                  <c:v>12</c:v>
                </c:pt>
                <c:pt idx="161">
                  <c:v>7</c:v>
                </c:pt>
                <c:pt idx="162">
                  <c:v>13</c:v>
                </c:pt>
                <c:pt idx="163">
                  <c:v>5</c:v>
                </c:pt>
                <c:pt idx="164">
                  <c:v>16</c:v>
                </c:pt>
                <c:pt idx="165">
                  <c:v>20</c:v>
                </c:pt>
                <c:pt idx="166">
                  <c:v>11</c:v>
                </c:pt>
                <c:pt idx="167">
                  <c:v>27</c:v>
                </c:pt>
                <c:pt idx="168">
                  <c:v>8</c:v>
                </c:pt>
                <c:pt idx="169">
                  <c:v>6</c:v>
                </c:pt>
                <c:pt idx="170">
                  <c:v>10</c:v>
                </c:pt>
                <c:pt idx="171">
                  <c:v>8</c:v>
                </c:pt>
                <c:pt idx="172">
                  <c:v>16</c:v>
                </c:pt>
                <c:pt idx="173">
                  <c:v>11</c:v>
                </c:pt>
                <c:pt idx="174">
                  <c:v>10</c:v>
                </c:pt>
                <c:pt idx="175">
                  <c:v>9</c:v>
                </c:pt>
                <c:pt idx="176">
                  <c:v>14</c:v>
                </c:pt>
                <c:pt idx="177">
                  <c:v>22</c:v>
                </c:pt>
                <c:pt idx="178">
                  <c:v>8</c:v>
                </c:pt>
                <c:pt idx="179">
                  <c:v>7</c:v>
                </c:pt>
                <c:pt idx="180">
                  <c:v>12</c:v>
                </c:pt>
                <c:pt idx="181">
                  <c:v>13</c:v>
                </c:pt>
                <c:pt idx="182">
                  <c:v>9</c:v>
                </c:pt>
                <c:pt idx="183">
                  <c:v>13</c:v>
                </c:pt>
                <c:pt idx="184">
                  <c:v>11</c:v>
                </c:pt>
                <c:pt idx="185">
                  <c:v>20</c:v>
                </c:pt>
                <c:pt idx="186">
                  <c:v>5</c:v>
                </c:pt>
                <c:pt idx="187">
                  <c:v>2</c:v>
                </c:pt>
                <c:pt idx="188">
                  <c:v>27</c:v>
                </c:pt>
                <c:pt idx="189">
                  <c:v>9</c:v>
                </c:pt>
                <c:pt idx="190">
                  <c:v>10</c:v>
                </c:pt>
                <c:pt idx="191">
                  <c:v>46</c:v>
                </c:pt>
                <c:pt idx="192">
                  <c:v>4</c:v>
                </c:pt>
                <c:pt idx="193">
                  <c:v>20</c:v>
                </c:pt>
                <c:pt idx="194">
                  <c:v>9</c:v>
                </c:pt>
                <c:pt idx="195">
                  <c:v>12</c:v>
                </c:pt>
                <c:pt idx="196">
                  <c:v>12</c:v>
                </c:pt>
                <c:pt idx="197">
                  <c:v>12</c:v>
                </c:pt>
                <c:pt idx="198">
                  <c:v>20</c:v>
                </c:pt>
                <c:pt idx="199">
                  <c:v>10</c:v>
                </c:pt>
                <c:pt idx="200">
                  <c:v>6</c:v>
                </c:pt>
                <c:pt idx="201">
                  <c:v>9</c:v>
                </c:pt>
                <c:pt idx="202">
                  <c:v>11</c:v>
                </c:pt>
                <c:pt idx="203">
                  <c:v>16</c:v>
                </c:pt>
                <c:pt idx="204">
                  <c:v>6</c:v>
                </c:pt>
                <c:pt idx="205">
                  <c:v>25</c:v>
                </c:pt>
                <c:pt idx="206">
                  <c:v>17</c:v>
                </c:pt>
                <c:pt idx="207">
                  <c:v>20</c:v>
                </c:pt>
                <c:pt idx="208">
                  <c:v>6</c:v>
                </c:pt>
                <c:pt idx="209">
                  <c:v>17</c:v>
                </c:pt>
                <c:pt idx="210">
                  <c:v>18</c:v>
                </c:pt>
                <c:pt idx="211">
                  <c:v>13</c:v>
                </c:pt>
                <c:pt idx="212">
                  <c:v>18</c:v>
                </c:pt>
                <c:pt idx="213">
                  <c:v>20</c:v>
                </c:pt>
                <c:pt idx="214">
                  <c:v>22</c:v>
                </c:pt>
                <c:pt idx="215">
                  <c:v>21</c:v>
                </c:pt>
                <c:pt idx="216">
                  <c:v>28</c:v>
                </c:pt>
                <c:pt idx="217">
                  <c:v>12</c:v>
                </c:pt>
                <c:pt idx="218">
                  <c:v>24</c:v>
                </c:pt>
                <c:pt idx="219">
                  <c:v>39</c:v>
                </c:pt>
                <c:pt idx="220">
                  <c:v>9</c:v>
                </c:pt>
                <c:pt idx="221">
                  <c:v>10</c:v>
                </c:pt>
                <c:pt idx="222">
                  <c:v>17</c:v>
                </c:pt>
                <c:pt idx="223">
                  <c:v>11</c:v>
                </c:pt>
                <c:pt idx="224">
                  <c:v>14</c:v>
                </c:pt>
                <c:pt idx="225">
                  <c:v>12</c:v>
                </c:pt>
                <c:pt idx="226">
                  <c:v>53</c:v>
                </c:pt>
                <c:pt idx="227">
                  <c:v>6</c:v>
                </c:pt>
                <c:pt idx="228">
                  <c:v>8</c:v>
                </c:pt>
                <c:pt idx="229">
                  <c:v>12</c:v>
                </c:pt>
                <c:pt idx="230">
                  <c:v>12</c:v>
                </c:pt>
                <c:pt idx="231">
                  <c:v>21</c:v>
                </c:pt>
                <c:pt idx="232">
                  <c:v>6</c:v>
                </c:pt>
                <c:pt idx="233">
                  <c:v>13</c:v>
                </c:pt>
                <c:pt idx="234">
                  <c:v>0</c:v>
                </c:pt>
                <c:pt idx="235">
                  <c:v>11</c:v>
                </c:pt>
                <c:pt idx="236">
                  <c:v>9</c:v>
                </c:pt>
                <c:pt idx="237">
                  <c:v>15</c:v>
                </c:pt>
                <c:pt idx="238">
                  <c:v>11</c:v>
                </c:pt>
                <c:pt idx="239">
                  <c:v>13</c:v>
                </c:pt>
                <c:pt idx="240">
                  <c:v>6</c:v>
                </c:pt>
                <c:pt idx="241">
                  <c:v>9</c:v>
                </c:pt>
                <c:pt idx="242">
                  <c:v>6</c:v>
                </c:pt>
                <c:pt idx="243">
                  <c:v>0</c:v>
                </c:pt>
                <c:pt idx="244">
                  <c:v>18</c:v>
                </c:pt>
                <c:pt idx="245">
                  <c:v>14</c:v>
                </c:pt>
                <c:pt idx="246">
                  <c:v>9</c:v>
                </c:pt>
                <c:pt idx="247">
                  <c:v>16</c:v>
                </c:pt>
                <c:pt idx="248">
                  <c:v>2</c:v>
                </c:pt>
                <c:pt idx="249">
                  <c:v>5</c:v>
                </c:pt>
                <c:pt idx="250">
                  <c:v>20</c:v>
                </c:pt>
                <c:pt idx="251">
                  <c:v>7</c:v>
                </c:pt>
                <c:pt idx="252">
                  <c:v>14</c:v>
                </c:pt>
                <c:pt idx="253">
                  <c:v>10</c:v>
                </c:pt>
                <c:pt idx="254">
                  <c:v>7</c:v>
                </c:pt>
                <c:pt idx="255">
                  <c:v>13</c:v>
                </c:pt>
                <c:pt idx="256">
                  <c:v>11</c:v>
                </c:pt>
                <c:pt idx="257">
                  <c:v>6</c:v>
                </c:pt>
                <c:pt idx="258">
                  <c:v>14</c:v>
                </c:pt>
                <c:pt idx="259">
                  <c:v>14</c:v>
                </c:pt>
                <c:pt idx="260">
                  <c:v>8</c:v>
                </c:pt>
                <c:pt idx="261">
                  <c:v>30</c:v>
                </c:pt>
                <c:pt idx="262">
                  <c:v>13</c:v>
                </c:pt>
                <c:pt idx="263">
                  <c:v>7</c:v>
                </c:pt>
                <c:pt idx="264">
                  <c:v>9</c:v>
                </c:pt>
                <c:pt idx="265">
                  <c:v>7</c:v>
                </c:pt>
                <c:pt idx="266">
                  <c:v>20</c:v>
                </c:pt>
                <c:pt idx="267">
                  <c:v>13</c:v>
                </c:pt>
                <c:pt idx="268">
                  <c:v>11</c:v>
                </c:pt>
                <c:pt idx="269">
                  <c:v>18</c:v>
                </c:pt>
                <c:pt idx="270">
                  <c:v>14</c:v>
                </c:pt>
                <c:pt idx="271">
                  <c:v>19</c:v>
                </c:pt>
                <c:pt idx="272">
                  <c:v>13</c:v>
                </c:pt>
                <c:pt idx="273">
                  <c:v>5</c:v>
                </c:pt>
                <c:pt idx="274">
                  <c:v>10</c:v>
                </c:pt>
                <c:pt idx="275">
                  <c:v>9</c:v>
                </c:pt>
                <c:pt idx="276">
                  <c:v>8</c:v>
                </c:pt>
                <c:pt idx="277">
                  <c:v>8</c:v>
                </c:pt>
                <c:pt idx="278">
                  <c:v>12</c:v>
                </c:pt>
                <c:pt idx="279">
                  <c:v>11</c:v>
                </c:pt>
                <c:pt idx="280">
                  <c:v>40</c:v>
                </c:pt>
                <c:pt idx="281">
                  <c:v>36</c:v>
                </c:pt>
                <c:pt idx="282">
                  <c:v>16</c:v>
                </c:pt>
                <c:pt idx="283">
                  <c:v>17</c:v>
                </c:pt>
                <c:pt idx="284">
                  <c:v>14</c:v>
                </c:pt>
                <c:pt idx="285">
                  <c:v>21</c:v>
                </c:pt>
                <c:pt idx="286">
                  <c:v>18</c:v>
                </c:pt>
                <c:pt idx="287">
                  <c:v>17</c:v>
                </c:pt>
                <c:pt idx="288">
                  <c:v>5</c:v>
                </c:pt>
                <c:pt idx="289">
                  <c:v>21</c:v>
                </c:pt>
                <c:pt idx="290">
                  <c:v>18</c:v>
                </c:pt>
                <c:pt idx="291">
                  <c:v>18</c:v>
                </c:pt>
                <c:pt idx="292">
                  <c:v>12</c:v>
                </c:pt>
                <c:pt idx="293">
                  <c:v>14</c:v>
                </c:pt>
                <c:pt idx="294">
                  <c:v>12</c:v>
                </c:pt>
                <c:pt idx="295">
                  <c:v>8</c:v>
                </c:pt>
                <c:pt idx="296">
                  <c:v>0</c:v>
                </c:pt>
                <c:pt idx="297">
                  <c:v>14</c:v>
                </c:pt>
                <c:pt idx="298">
                  <c:v>10</c:v>
                </c:pt>
                <c:pt idx="299">
                  <c:v>15</c:v>
                </c:pt>
                <c:pt idx="300">
                  <c:v>9</c:v>
                </c:pt>
                <c:pt idx="301">
                  <c:v>7</c:v>
                </c:pt>
                <c:pt idx="302">
                  <c:v>10</c:v>
                </c:pt>
                <c:pt idx="303">
                  <c:v>6</c:v>
                </c:pt>
                <c:pt idx="304">
                  <c:v>9</c:v>
                </c:pt>
                <c:pt idx="305">
                  <c:v>10</c:v>
                </c:pt>
                <c:pt idx="306">
                  <c:v>82</c:v>
                </c:pt>
                <c:pt idx="307">
                  <c:v>12</c:v>
                </c:pt>
                <c:pt idx="308">
                  <c:v>10</c:v>
                </c:pt>
                <c:pt idx="309">
                  <c:v>5</c:v>
                </c:pt>
                <c:pt idx="310">
                  <c:v>16</c:v>
                </c:pt>
                <c:pt idx="311">
                  <c:v>10</c:v>
                </c:pt>
              </c:numCache>
            </c:numRef>
          </c:yVal>
          <c:smooth val="0"/>
          <c:extLst>
            <c:ext xmlns:c16="http://schemas.microsoft.com/office/drawing/2014/chart" uri="{C3380CC4-5D6E-409C-BE32-E72D297353CC}">
              <c16:uniqueId val="{00000000-D0AF-4EF3-B7CC-9E9213C7C1FF}"/>
            </c:ext>
          </c:extLst>
        </c:ser>
        <c:dLbls>
          <c:showLegendKey val="0"/>
          <c:showVal val="0"/>
          <c:showCatName val="0"/>
          <c:showSerName val="0"/>
          <c:showPercent val="0"/>
          <c:showBubbleSize val="0"/>
        </c:dLbls>
        <c:axId val="1073661807"/>
        <c:axId val="924286735"/>
      </c:scatterChart>
      <c:valAx>
        <c:axId val="10736618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4286735"/>
        <c:crosses val="autoZero"/>
        <c:crossBetween val="midCat"/>
      </c:valAx>
      <c:valAx>
        <c:axId val="92428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736618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395287</xdr:colOff>
      <xdr:row>1</xdr:row>
      <xdr:rowOff>123825</xdr:rowOff>
    </xdr:from>
    <xdr:to>
      <xdr:col>9</xdr:col>
      <xdr:colOff>395287</xdr:colOff>
      <xdr:row>16</xdr:row>
      <xdr:rowOff>9525</xdr:rowOff>
    </xdr:to>
    <xdr:graphicFrame macro="">
      <xdr:nvGraphicFramePr>
        <xdr:cNvPr id="2" name="Gráfico 1">
          <a:extLst>
            <a:ext uri="{FF2B5EF4-FFF2-40B4-BE49-F238E27FC236}">
              <a16:creationId xmlns:a16="http://schemas.microsoft.com/office/drawing/2014/main" id="{A8D79C53-60C6-4B8E-8C75-9AA1FE326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771525</xdr:colOff>
      <xdr:row>17</xdr:row>
      <xdr:rowOff>19050</xdr:rowOff>
    </xdr:from>
    <xdr:to>
      <xdr:col>11</xdr:col>
      <xdr:colOff>571500</xdr:colOff>
      <xdr:row>21</xdr:row>
      <xdr:rowOff>161925</xdr:rowOff>
    </xdr:to>
    <xdr:sp macro="" textlink="">
      <xdr:nvSpPr>
        <xdr:cNvPr id="3" name="CuadroTexto 2">
          <a:extLst>
            <a:ext uri="{FF2B5EF4-FFF2-40B4-BE49-F238E27FC236}">
              <a16:creationId xmlns:a16="http://schemas.microsoft.com/office/drawing/2014/main" id="{A911292D-7B5C-4CEF-8C07-FA49471AE4C0}"/>
            </a:ext>
          </a:extLst>
        </xdr:cNvPr>
        <xdr:cNvSpPr txBox="1"/>
      </xdr:nvSpPr>
      <xdr:spPr>
        <a:xfrm>
          <a:off x="2000250" y="3257550"/>
          <a:ext cx="8201025"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latin typeface="Segoe UI" panose="020B0502040204020203" pitchFamily="34" charset="0"/>
              <a:cs typeface="Segoe UI" panose="020B0502040204020203" pitchFamily="34" charset="0"/>
            </a:rPr>
            <a:t>El gráfico muestra que el promedio de calificación de los libros se mantiene prácticamente constante entre los diferentes rangos de precio. Esto indica que no existe una relación directa entre el precio del libro y la percepción de calidad reflejada en el User Rating.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2</xdr:row>
      <xdr:rowOff>152400</xdr:rowOff>
    </xdr:from>
    <xdr:to>
      <xdr:col>8</xdr:col>
      <xdr:colOff>476250</xdr:colOff>
      <xdr:row>17</xdr:row>
      <xdr:rowOff>38100</xdr:rowOff>
    </xdr:to>
    <xdr:graphicFrame macro="">
      <xdr:nvGraphicFramePr>
        <xdr:cNvPr id="2" name="Gráfico 1">
          <a:extLst>
            <a:ext uri="{FF2B5EF4-FFF2-40B4-BE49-F238E27FC236}">
              <a16:creationId xmlns:a16="http://schemas.microsoft.com/office/drawing/2014/main" id="{3B1B883A-A636-4955-A11D-AB95CC4AB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163862</xdr:colOff>
      <xdr:row>41</xdr:row>
      <xdr:rowOff>182090</xdr:rowOff>
    </xdr:to>
    <xdr:pic>
      <xdr:nvPicPr>
        <xdr:cNvPr id="2" name="Imagen 1">
          <a:extLst>
            <a:ext uri="{FF2B5EF4-FFF2-40B4-BE49-F238E27FC236}">
              <a16:creationId xmlns:a16="http://schemas.microsoft.com/office/drawing/2014/main" id="{8DD13910-55B8-4747-BB18-6497A5F18A0C}"/>
            </a:ext>
          </a:extLst>
        </xdr:cNvPr>
        <xdr:cNvPicPr>
          <a:picLocks noChangeAspect="1"/>
        </xdr:cNvPicPr>
      </xdr:nvPicPr>
      <xdr:blipFill>
        <a:blip xmlns:r="http://schemas.openxmlformats.org/officeDocument/2006/relationships" r:embed="rId1"/>
        <a:stretch>
          <a:fillRect/>
        </a:stretch>
      </xdr:blipFill>
      <xdr:spPr>
        <a:xfrm>
          <a:off x="0" y="0"/>
          <a:ext cx="13879862" cy="79925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QUIPO" refreshedDate="46063.418051157409" createdVersion="6" refreshedVersion="6" minRefreshableVersion="3" recordCount="316" xr:uid="{3DF8D564-7FE1-4A58-9A9D-951F7B3C8D26}">
  <cacheSource type="worksheet">
    <worksheetSource ref="A2:I318" sheet="Dataset"/>
  </cacheSource>
  <cacheFields count="9">
    <cacheField name="Name" numFmtId="0">
      <sharedItems/>
    </cacheField>
    <cacheField name="Author" numFmtId="0">
      <sharedItems containsBlank="1"/>
    </cacheField>
    <cacheField name="User Rating" numFmtId="0">
      <sharedItems containsSemiMixedTypes="0" containsString="0" containsNumber="1" minValue="0.23106796013835049" maxValue="4.9000000000000004"/>
    </cacheField>
    <cacheField name="Reviews" numFmtId="0">
      <sharedItems containsString="0" containsBlank="1" containsNumber="1" containsInteger="1" minValue="37" maxValue="79446"/>
    </cacheField>
    <cacheField name="Price" numFmtId="0">
      <sharedItems containsSemiMixedTypes="0" containsString="0" containsNumber="1" minValue="0" maxValue="105"/>
    </cacheField>
    <cacheField name="Year" numFmtId="0">
      <sharedItems containsString="0" containsBlank="1" containsNumber="1" containsInteger="1" minValue="2009" maxValue="2019"/>
    </cacheField>
    <cacheField name="Genre" numFmtId="0">
      <sharedItems containsBlank="1"/>
    </cacheField>
    <cacheField name="Name+Author" numFmtId="0">
      <sharedItems containsBlank="1"/>
    </cacheField>
    <cacheField name="Rango de precio" numFmtId="0">
      <sharedItems containsBlank="1" count="4">
        <s v="Bajo"/>
        <s v="Alto"/>
        <s v="Medi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s v="10-Day Green Smoothie Cleanse"/>
    <s v="JJ Smith"/>
    <n v="4.7"/>
    <n v="17350"/>
    <n v="8"/>
    <n v="2016"/>
    <s v="Non Fiction"/>
    <s v="10-Day Green Smoothie Cleanse JJ Smith"/>
    <x v="0"/>
  </r>
  <r>
    <s v="11/22/63: A Novel"/>
    <s v="Stephen King"/>
    <n v="4.5999999999999996"/>
    <n v="2052"/>
    <n v="22"/>
    <n v="2011"/>
    <s v="Fiction"/>
    <s v="11/22/63: A Novel Stephen King"/>
    <x v="0"/>
  </r>
  <r>
    <s v="12 Rules for Life: An Antidote to Chaos"/>
    <s v="Jordan B. Peterson"/>
    <n v="4.7"/>
    <n v="18979"/>
    <n v="15"/>
    <n v="2018"/>
    <s v="Non Fiction"/>
    <s v="12 Rules for Life: An Antidote to Chaos Jordan B. Peterson"/>
    <x v="0"/>
  </r>
  <r>
    <s v="1984 (Signet Classics)"/>
    <s v="George Orwell"/>
    <n v="4.7"/>
    <n v="21424"/>
    <n v="6"/>
    <n v="2017"/>
    <s v="Fiction"/>
    <s v="1984 (Signet Classics) George Orwell"/>
    <x v="0"/>
  </r>
  <r>
    <s v="5,000 Awesome Facts (About Everything!) (National Geographic Kids)"/>
    <s v="National Geographic Kids"/>
    <n v="4.8"/>
    <n v="7665"/>
    <n v="12"/>
    <n v="2019"/>
    <s v="Non Fiction"/>
    <s v="5,000 Awesome Facts (About Everything!) (National Geographic Kids) National Geographic Kids"/>
    <x v="0"/>
  </r>
  <r>
    <s v="A Dance with Dragons (A Song of Ice and Fire)"/>
    <s v="George R. R. Martin"/>
    <n v="4.4000000000000004"/>
    <n v="12643"/>
    <n v="11"/>
    <n v="2011"/>
    <s v="Fiction"/>
    <s v="A Dance with Dragons (A Song of Ice and Fire) George R. R. Martin"/>
    <x v="0"/>
  </r>
  <r>
    <s v="A Game of Thrones / A Clash of Kings / A Storm of Swords / A Feast of Crows / A Dance with Dragons"/>
    <s v="George R. R. Martin"/>
    <n v="4.7"/>
    <n v="19735"/>
    <n v="30"/>
    <n v="2014"/>
    <s v="Fiction"/>
    <s v="A Game of Thrones / A Clash of Kings / A Storm of Swords / A Feast of Crows / A Dance with Dragons George R. R. Martin"/>
    <x v="0"/>
  </r>
  <r>
    <s v="A Gentleman in Moscow: A Novel"/>
    <s v="Amor Towles"/>
    <n v="4.7"/>
    <n v="19699"/>
    <n v="15"/>
    <n v="2017"/>
    <s v="Fiction"/>
    <s v="A Gentleman in Moscow: A Novel Amor Towles"/>
    <x v="0"/>
  </r>
  <r>
    <s v="A Higher Loyalty: Truth, Lies, and Leadership"/>
    <s v="James Comey"/>
    <n v="4.7"/>
    <n v="5983"/>
    <n v="3"/>
    <n v="2018"/>
    <s v="Non Fiction"/>
    <s v="A Higher Loyalty: Truth, Lies, and Leadership James Comey"/>
    <x v="0"/>
  </r>
  <r>
    <s v="A Man Called Ove: A Novel"/>
    <s v="Fredrik Backman"/>
    <n v="4.5999999999999996"/>
    <n v="23848"/>
    <n v="8"/>
    <n v="2016"/>
    <s v="Fiction"/>
    <s v="A Man Called Ove: A Novel Fredrik Backman"/>
    <x v="0"/>
  </r>
  <r>
    <s v="A Patriot's History of the United States: From Columbus's Great Discovery to the War on Terror"/>
    <s v="Larry Schweikart"/>
    <n v="4.5999999999999996"/>
    <n v="460"/>
    <n v="2"/>
    <n v="2010"/>
    <s v="Non Fiction"/>
    <s v="A Patriot's History of the United States: From Columbus's Great Discovery to the War on Terror Larry Schweikart"/>
    <x v="0"/>
  </r>
  <r>
    <s v="A Stolen Life: A Memoir"/>
    <s v="Jaycee Dugard"/>
    <n v="4.5999999999999996"/>
    <n v="4149"/>
    <n v="32"/>
    <n v="2011"/>
    <s v="Non Fiction"/>
    <s v="A Stolen Life: A Memoir Jaycee Dugard"/>
    <x v="0"/>
  </r>
  <r>
    <s v="A Wrinkle in Time (Time Quintet)"/>
    <s v="Madeleine L'Engle"/>
    <n v="4.5"/>
    <n v="5153"/>
    <n v="5"/>
    <n v="2018"/>
    <s v="Fiction"/>
    <s v="A Wrinkle in Time (Time Quintet) Madeleine L'Engle"/>
    <x v="0"/>
  </r>
  <r>
    <s v="Act Like a Lady, Think Like a Man: What Men Really Think About Love, Relationships, Intimacy, and Commitment"/>
    <s v="Steve Harvey"/>
    <n v="4.5999999999999996"/>
    <n v="5013"/>
    <n v="17"/>
    <n v="2009"/>
    <s v="Non Fiction"/>
    <s v="Act Like a Lady, Think Like a Man: What Men Really Think About Love, Relationships, Intimacy, and Commitment Steve Harvey"/>
    <x v="0"/>
  </r>
  <r>
    <s v="Adult Coloring Book Designs: Stress Relief Coloring Book: Garden Designs, Mandalas, Animals, and Paisley Patterns"/>
    <s v="Adult Coloring Book Designs"/>
    <n v="4.5"/>
    <n v="2313"/>
    <n v="4"/>
    <n v="2016"/>
    <s v="Non Fiction"/>
    <s v="Adult Coloring Book Designs: Stress Relief Coloring Book: Garden Designs, Mandalas, Animals, and Paisley Patterns Adult Coloring Book Designs"/>
    <x v="0"/>
  </r>
  <r>
    <s v="Adult Coloring Book: Stress Relieving Animal Designs"/>
    <s v="Blue Star Coloring"/>
    <n v="4.5999999999999996"/>
    <n v="2925"/>
    <n v="6"/>
    <n v="2015"/>
    <s v="Non Fiction"/>
    <s v="Adult Coloring Book: Stress Relieving Animal Designs Blue Star Coloring"/>
    <x v="0"/>
  </r>
  <r>
    <s v="Adult Coloring Book: Stress Relieving Patterns"/>
    <s v="Blue Star Coloring"/>
    <n v="4.4000000000000004"/>
    <n v="2951"/>
    <n v="6"/>
    <n v="2015"/>
    <s v="Non Fiction"/>
    <s v="Adult Coloring Book: Stress Relieving Patterns Blue Star Coloring"/>
    <x v="0"/>
  </r>
  <r>
    <s v="Adult Coloring Books: A Coloring Book for Adults Featuring Mandalas and Henna Inspired Flowers, Animals, and Paisley…"/>
    <s v="Coloring Books for Adults"/>
    <n v="4.5"/>
    <n v="2426"/>
    <n v="8"/>
    <n v="2015"/>
    <s v="Non Fiction"/>
    <s v="Adult Coloring Books: A Coloring Book for Adults Featuring Mandalas and Henna Inspired Flowers, Animals, and Paisley… Coloring Books for Adults"/>
    <x v="0"/>
  </r>
  <r>
    <s v="Alexander Hamilton"/>
    <s v="Ron Chernow"/>
    <n v="4.8"/>
    <n v="9198"/>
    <n v="13"/>
    <n v="2016"/>
    <s v="Non Fiction"/>
    <s v="Alexander Hamilton Ron Chernow"/>
    <x v="0"/>
  </r>
  <r>
    <s v="All the Light We Cannot See"/>
    <s v="Anthony Doerr"/>
    <n v="4.5999999999999996"/>
    <n v="36348"/>
    <n v="14"/>
    <n v="2014"/>
    <s v="Fiction"/>
    <s v="All the Light We Cannot See Anthony Doerr"/>
    <x v="0"/>
  </r>
  <r>
    <s v="Allegiant"/>
    <s v="Veronica Roth"/>
    <n v="3.9"/>
    <n v="6310"/>
    <n v="13"/>
    <n v="2013"/>
    <s v="Fiction"/>
    <s v="Allegiant Veronica Roth"/>
    <x v="0"/>
  </r>
  <r>
    <s v="American Sniper: The Autobiography of the Most Lethal Sniper in U.S. Military History"/>
    <s v="Chris Kyle"/>
    <n v="4.5999999999999996"/>
    <n v="15921"/>
    <n v="9"/>
    <n v="2015"/>
    <s v="Non Fiction"/>
    <s v="American Sniper: The Autobiography of the Most Lethal Sniper in U.S. Military History Chris Kyle"/>
    <x v="0"/>
  </r>
  <r>
    <s v="And the Mountains Echoed"/>
    <s v="Khaled Hosseini"/>
    <n v="4.3"/>
    <n v="12159"/>
    <n v="13"/>
    <n v="2013"/>
    <s v="Fiction"/>
    <s v="And the Mountains Echoed Khaled Hosseini"/>
    <x v="0"/>
  </r>
  <r>
    <s v="Arguing with Idiots: How to Stop Small Minds and Big Government"/>
    <s v="Glenn Beck"/>
    <n v="4.5999999999999996"/>
    <n v="798"/>
    <n v="5"/>
    <n v="2009"/>
    <s v="Non Fiction"/>
    <s v="Arguing with Idiots: How to Stop Small Minds and Big Government Glenn Beck"/>
    <x v="0"/>
  </r>
  <r>
    <s v="Astrophysics for People in a Hurry"/>
    <s v="Neil deGrasse Tyson"/>
    <n v="4.7"/>
    <n v="9374"/>
    <n v="9"/>
    <n v="2017"/>
    <s v="Non Fiction"/>
    <s v="Astrophysics for People in a Hurry Neil deGrasse Tyson"/>
    <x v="0"/>
  </r>
  <r>
    <s v="Autobiography of Mark Twain, Vol. 1"/>
    <s v="Mark Twain"/>
    <n v="4.2"/>
    <n v="491"/>
    <n v="14"/>
    <n v="2010"/>
    <s v="Non Fiction"/>
    <s v="Autobiography of Mark Twain, Vol. 1 Mark Twain"/>
    <x v="0"/>
  </r>
  <r>
    <s v="Baby Touch and Feel: Animals"/>
    <s v="DK"/>
    <n v="4.5999999999999996"/>
    <n v="5360"/>
    <n v="5"/>
    <n v="2015"/>
    <s v="Non Fiction"/>
    <s v="Baby Touch and Feel: Animals DK"/>
    <x v="0"/>
  </r>
  <r>
    <s v="Balance (Angie's Extreme Stress Menders)"/>
    <s v="Angie Grace"/>
    <n v="4.5999999999999996"/>
    <n v="1909"/>
    <n v="11"/>
    <n v="2015"/>
    <s v="Non Fiction"/>
    <s v="Balance (Angie's Extreme Stress Menders) Angie Grace"/>
    <x v="0"/>
  </r>
  <r>
    <s v="Barefoot Contessa Foolproof: Recipes You Can Trust: A Cookbook"/>
    <s v="Ina Garten"/>
    <n v="4.8"/>
    <n v="1296"/>
    <n v="24"/>
    <n v="2012"/>
    <s v="Non Fiction"/>
    <s v="Barefoot Contessa Foolproof: Recipes You Can Trust: A Cookbook Ina Garten"/>
    <x v="0"/>
  </r>
  <r>
    <s v="Barefoot Contessa, How Easy Is That?: Fabulous Recipes &amp; Easy Tips"/>
    <s v="Ina Garten"/>
    <n v="4.7"/>
    <n v="615"/>
    <n v="21"/>
    <n v="2010"/>
    <s v="Non Fiction"/>
    <s v="Barefoot Contessa, How Easy Is That?: Fabulous Recipes &amp; Easy Tips Ina Garten"/>
    <x v="0"/>
  </r>
  <r>
    <s v="Becoming"/>
    <s v="Michelle Obama"/>
    <n v="4.8"/>
    <n v="61133"/>
    <n v="11"/>
    <n v="2018"/>
    <s v="Non Fiction"/>
    <s v="Becoming Michelle Obama"/>
    <x v="0"/>
  </r>
  <r>
    <s v="Being Mortal: Medicine and What Matters in the End"/>
    <s v="Atul Gawande"/>
    <n v="4.8"/>
    <n v="11113"/>
    <n v="15"/>
    <n v="2015"/>
    <s v="Non Fiction"/>
    <s v="Being Mortal: Medicine and What Matters in the End Atul Gawande"/>
    <x v="0"/>
  </r>
  <r>
    <s v="Between the World and Me"/>
    <s v="Ta-Nehisi Coates"/>
    <n v="4.7"/>
    <n v="10070"/>
    <n v="13"/>
    <n v="2015"/>
    <s v="Non Fiction"/>
    <s v="Between the World and Me Ta-Nehisi Coates"/>
    <x v="0"/>
  </r>
  <r>
    <s v="Born to Run"/>
    <s v="Bruce Springsteen"/>
    <n v="4.7"/>
    <n v="3729"/>
    <n v="18"/>
    <n v="2016"/>
    <s v="Non Fiction"/>
    <s v="Born to Run Bruce Springsteen"/>
    <x v="0"/>
  </r>
  <r>
    <s v="Breaking Dawn (The Twilight Saga, Book 4)"/>
    <s v="Stephenie Meyer"/>
    <n v="4.5999999999999996"/>
    <n v="9769"/>
    <n v="13"/>
    <n v="2009"/>
    <s v="Fiction"/>
    <s v="Breaking Dawn (The Twilight Saga, Book 4) Stephenie Meyer"/>
    <x v="0"/>
  </r>
  <r>
    <s v="Broke: The Plan to Restore Our Trust, Truth and Treasure"/>
    <s v="Glenn Beck"/>
    <n v="4.5"/>
    <n v="471"/>
    <n v="8"/>
    <n v="2010"/>
    <s v="Non Fiction"/>
    <s v="Broke: The Plan to Restore Our Trust, Truth and Treasure Glenn Beck"/>
    <x v="0"/>
  </r>
  <r>
    <s v="Brown Bear, Brown Bear, What Do You See?"/>
    <s v="Bill Martin Jr."/>
    <n v="4.9000000000000004"/>
    <n v="14344"/>
    <n v="5"/>
    <n v="2017"/>
    <s v="Fiction"/>
    <s v="Brown Bear, Brown Bear, What Do You See? Bill Martin Jr."/>
    <x v="0"/>
  </r>
  <r>
    <s v="Cabin Fever (Diary of a Wimpy Kid, Book 6)"/>
    <s v="Jeff Kinney"/>
    <n v="4.8"/>
    <n v="4505"/>
    <n v="0"/>
    <n v="2011"/>
    <s v="Fiction"/>
    <s v="Cabin Fever (Diary of a Wimpy Kid, Book 6) Jeff Kinney"/>
    <x v="0"/>
  </r>
  <r>
    <s v="Calm the F*ck Down: An Irreverent Adult Coloring Book (Irreverent Book Series)"/>
    <s v="Sasha O'Hara"/>
    <n v="4.5999999999999996"/>
    <n v="10369"/>
    <n v="4"/>
    <n v="2016"/>
    <s v="Non Fiction"/>
    <s v="Calm the F*ck Down: An Irreverent Adult Coloring Book (Irreverent Book Series) Sasha O'Hara"/>
    <x v="0"/>
  </r>
  <r>
    <s v="Can't Hurt Me: Master Your Mind and Defy the Odds"/>
    <s v="David Goggins"/>
    <n v="4.8"/>
    <n v="16244"/>
    <n v="18"/>
    <n v="2019"/>
    <s v="Non Fiction"/>
    <s v="Can't Hurt Me: Master Your Mind and Defy the Odds David Goggins"/>
    <x v="0"/>
  </r>
  <r>
    <s v="Capital in the Twenty First Century"/>
    <s v="Thomas Piketty"/>
    <n v="4.5"/>
    <n v="2884"/>
    <n v="28"/>
    <n v="2014"/>
    <s v="Non Fiction"/>
    <s v="Capital in the Twenty First Century Thomas Piketty"/>
    <x v="0"/>
  </r>
  <r>
    <s v="Catching Fire (The Hunger Games)"/>
    <s v="Suzanne Collins"/>
    <n v="4.7"/>
    <n v="22614"/>
    <n v="11"/>
    <n v="2010"/>
    <s v="Fiction"/>
    <s v="Catching Fire (The Hunger Games) Suzanne Collins"/>
    <x v="0"/>
  </r>
  <r>
    <s v="Cravings: Recipes for All the Food You Want to Eat: A Cookbook"/>
    <s v="Chrissy Teigen"/>
    <n v="4.7"/>
    <n v="4761"/>
    <n v="16"/>
    <n v="2016"/>
    <s v="Non Fiction"/>
    <s v="Cravings: Recipes for All the Food You Want to Eat: A Cookbook Chrissy Teigen"/>
    <x v="0"/>
  </r>
  <r>
    <s v="Crazy Love: Overwhelmed by a Relentless God"/>
    <s v="Francis Chan"/>
    <n v="4.7"/>
    <n v="1542"/>
    <n v="14"/>
    <n v="2009"/>
    <s v="Non Fiction"/>
    <s v="Crazy Love: Overwhelmed by a Relentless God Francis Chan"/>
    <x v="0"/>
  </r>
  <r>
    <s v="Crazy Rich Asians (Crazy Rich Asians Trilogy)"/>
    <s v="Kevin Kwan"/>
    <n v="4.3"/>
    <n v="6143"/>
    <n v="8"/>
    <n v="2018"/>
    <s v="Fiction"/>
    <s v="Crazy Rich Asians (Crazy Rich Asians Trilogy) Kevin Kwan"/>
    <x v="0"/>
  </r>
  <r>
    <s v="Creative Haven Creative Cats Coloring Book (Adult Coloring)"/>
    <s v="Marjorie Sarnat"/>
    <n v="4.8"/>
    <n v="4022"/>
    <n v="4"/>
    <n v="2015"/>
    <s v="Non Fiction"/>
    <s v="Creative Haven Creative Cats Coloring Book (Adult Coloring) Marjorie Sarnat"/>
    <x v="0"/>
  </r>
  <r>
    <s v="Creative Haven Owls Coloring Book (Adult Coloring)"/>
    <s v="Marjorie Sarnat"/>
    <n v="4.8"/>
    <n v="3871"/>
    <n v="5"/>
    <n v="2015"/>
    <s v="Non Fiction"/>
    <s v="Creative Haven Owls Coloring Book (Adult Coloring) Marjorie Sarnat"/>
    <x v="0"/>
  </r>
  <r>
    <s v="Cutting for Stone"/>
    <s v="Abraham Verghese"/>
    <n v="4.5999999999999996"/>
    <n v="4866"/>
    <n v="11"/>
    <n v="2010"/>
    <s v="Fiction"/>
    <s v="Cutting for Stone Abraham Verghese"/>
    <x v="0"/>
  </r>
  <r>
    <s v="Daring Greatly: How the Courage to Be Vulnerable Transforms the Way We Live, Love, Parent, and Lead"/>
    <s v="Brené Brown"/>
    <n v="4.8"/>
    <n v="1329"/>
    <n v="10"/>
    <n v="2013"/>
    <s v="Non Fiction"/>
    <s v="Daring Greatly: How the Courage to Be Vulnerable Transforms the Way We Live, Love, Parent, and Lead Brené Brown"/>
    <x v="0"/>
  </r>
  <r>
    <s v="David and Goliath: Underdogs, Misfits, and the Art of Battling Giants"/>
    <s v="Malcolm Gladwell"/>
    <n v="4.4000000000000004"/>
    <n v="4642"/>
    <n v="13"/>
    <n v="2013"/>
    <s v="Non Fiction"/>
    <s v="David and Goliath: Underdogs, Misfits, and the Art of Battling Giants Malcolm Gladwell"/>
    <x v="0"/>
  </r>
  <r>
    <s v="Dead And Gone: A Sookie Stackhouse Novel (Sookie Stackhouse/True Blood)"/>
    <s v="Charlaine Harris"/>
    <n v="4.5999999999999996"/>
    <n v="1541"/>
    <n v="4"/>
    <n v="2009"/>
    <s v="Fiction"/>
    <s v="Dead And Gone: A Sookie Stackhouse Novel (Sookie Stackhouse/True Blood) Charlaine Harris"/>
    <x v="0"/>
  </r>
  <r>
    <s v="Dead in the Family (Sookie Stackhouse/True Blood, Book 10)"/>
    <s v="Charlaine Harris"/>
    <n v="4.3"/>
    <n v="1924"/>
    <n v="8"/>
    <n v="2010"/>
    <s v="Fiction"/>
    <s v="Dead in the Family (Sookie Stackhouse/True Blood, Book 10) Charlaine Harris"/>
    <x v="0"/>
  </r>
  <r>
    <s v="Dead Reckoning (Sookie Stackhouse/True Blood, Book 11)"/>
    <s v="Charlaine Harris"/>
    <n v="4.2"/>
    <n v="2094"/>
    <n v="4"/>
    <n v="2011"/>
    <s v="Fiction"/>
    <s v="Dead Reckoning (Sookie Stackhouse/True Blood, Book 11) Charlaine Harris"/>
    <x v="0"/>
  </r>
  <r>
    <s v="Dear Zoo: A Lift-the-Flap Book"/>
    <s v="Rod Campbell"/>
    <n v="4.8"/>
    <n v="10922"/>
    <n v="5"/>
    <n v="2015"/>
    <s v="Fiction"/>
    <s v="Dear Zoo: A Lift-the-Flap Book Rod Campbell"/>
    <x v="0"/>
  </r>
  <r>
    <s v="Decision Points"/>
    <s v="George W. Bush"/>
    <n v="4.5999999999999996"/>
    <n v="2137"/>
    <n v="17"/>
    <n v="2010"/>
    <s v="Non Fiction"/>
    <s v="Decision Points George W. Bush"/>
    <x v="0"/>
  </r>
  <r>
    <s v="Delivering Happiness: A Path to Profits, Passion, and Purpose"/>
    <s v="Tony Hsieh"/>
    <n v="4.5999999999999996"/>
    <n v="1651"/>
    <n v="15"/>
    <n v="2010"/>
    <s v="Non Fiction"/>
    <s v="Delivering Happiness: A Path to Profits, Passion, and Purpose Tony Hsieh"/>
    <x v="0"/>
  </r>
  <r>
    <s v="Diagnostic and Statistical Manual of Mental Disorders, 5th Edition: DSM-5"/>
    <s v="American Psychiatric Association"/>
    <n v="4.5"/>
    <n v="6679"/>
    <n v="105"/>
    <n v="2013"/>
    <s v="Non Fiction"/>
    <s v="Diagnostic and Statistical Manual of Mental Disorders, 5th Edition: DSM-5 American Psychiatric Association"/>
    <x v="1"/>
  </r>
  <r>
    <s v="Diary of a Wimpy Kid: Hard Luck, Book 8"/>
    <s v="Jeff Kinney"/>
    <n v="4.8"/>
    <n v="6812"/>
    <n v="0"/>
    <n v="2013"/>
    <s v="Fiction"/>
    <s v="Diary of a Wimpy Kid: Hard Luck, Book 8 Jeff Kinney"/>
    <x v="0"/>
  </r>
  <r>
    <s v="Diary of a Wimpy Kid: The Last Straw (Book 3)"/>
    <s v="Jeff Kinney"/>
    <n v="4.8"/>
    <n v="3837"/>
    <n v="15"/>
    <n v="2009"/>
    <s v="Fiction"/>
    <s v="Diary of a Wimpy Kid: The Last Straw (Book 3) Jeff Kinney"/>
    <x v="0"/>
  </r>
  <r>
    <s v="Diary of a Wimpy Kid: The Long Haul"/>
    <s v="Jeff Kinney"/>
    <n v="4.8"/>
    <n v="6540"/>
    <n v="22"/>
    <n v="2014"/>
    <s v="Fiction"/>
    <s v="Diary of a Wimpy Kid: The Long Haul Jeff Kinney"/>
    <x v="0"/>
  </r>
  <r>
    <s v="Difficult Riddles For Smart Kids: 300 Difficult Riddles And Brain Teasers Families Will Love (Books for Smart Kids)"/>
    <s v="M Prefontaine"/>
    <n v="4.5999999999999996"/>
    <n v="7955"/>
    <n v="5"/>
    <n v="2019"/>
    <s v="Non Fiction"/>
    <s v="Difficult Riddles For Smart Kids: 300 Difficult Riddles And Brain Teasers Families Will Love (Books for Smart Kids) M Prefontaine"/>
    <x v="0"/>
  </r>
  <r>
    <s v="Divergent"/>
    <s v="Veronica Roth"/>
    <n v="4.5999999999999996"/>
    <n v="27098"/>
    <n v="15"/>
    <n v="2013"/>
    <s v="Fiction"/>
    <s v="Divergent Veronica Roth"/>
    <x v="0"/>
  </r>
  <r>
    <s v="Divergent / Insurgent"/>
    <s v="Veronica Roth"/>
    <n v="4.5"/>
    <n v="17684"/>
    <n v="6"/>
    <n v="2014"/>
    <s v="Fiction"/>
    <s v="Divergent / Insurgent Veronica Roth"/>
    <x v="0"/>
  </r>
  <r>
    <s v="Divine Soul Mind Body Healing and Transmission System: The Divine Way to Heal You, Humanity, Mother Earth, and All…"/>
    <s v="Zhi Gang Sha"/>
    <n v="4.5999999999999996"/>
    <n v="37"/>
    <n v="6"/>
    <n v="2009"/>
    <s v="Non Fiction"/>
    <s v="Divine Soul Mind Body Healing and Transmission System: The Divine Way to Heal You, Humanity, Mother Earth, and All… Zhi Gang Sha"/>
    <x v="0"/>
  </r>
  <r>
    <s v="Doctor Sleep: A Novel"/>
    <s v="Stephen King"/>
    <n v="4.7"/>
    <n v="15845"/>
    <n v="13"/>
    <n v="2013"/>
    <s v="Fiction"/>
    <s v="Doctor Sleep: A Novel Stephen King"/>
    <x v="0"/>
  </r>
  <r>
    <s v="Dog Days (Diary of a Wimpy Kid, Book 4) (Volume 4)"/>
    <s v="Jeff Kinney"/>
    <n v="4.8"/>
    <n v="3181"/>
    <n v="12"/>
    <n v="2009"/>
    <s v="Fiction"/>
    <s v="Dog Days (Diary of a Wimpy Kid, Book 4) (Volume 4) Jeff Kinney"/>
    <x v="0"/>
  </r>
  <r>
    <s v="Dog Man and Cat Kid: From the Creator of Captain Underpants (Dog Man #4)"/>
    <s v="Dav Pilkey"/>
    <n v="4.9000000000000004"/>
    <n v="5062"/>
    <n v="6"/>
    <n v="2018"/>
    <s v="Fiction"/>
    <s v="Dog Man and Cat Kid: From the Creator of Captain Underpants (Dog Man #4) Dav Pilkey"/>
    <x v="0"/>
  </r>
  <r>
    <s v="Dog Man: A Tale of Two Kitties: From the Creator of Captain Underpants (Dog Man #3)"/>
    <s v="Dav Pilkey"/>
    <n v="4.9000000000000004"/>
    <n v="4786"/>
    <n v="8"/>
    <n v="2017"/>
    <s v="Fiction"/>
    <s v="Dog Man: A Tale of Two Kitties: From the Creator of Captain Underpants (Dog Man #3) Dav Pilkey"/>
    <x v="0"/>
  </r>
  <r>
    <s v="Dog Man: Brawl of the Wild: From the Creator of Captain Underpants (Dog Man #6)"/>
    <s v="Dav Pilkey"/>
    <n v="4.9000000000000004"/>
    <n v="7235"/>
    <n v="4"/>
    <n v="2018"/>
    <s v="Fiction"/>
    <s v="Dog Man: Brawl of the Wild: From the Creator of Captain Underpants (Dog Man #6) Dav Pilkey"/>
    <x v="0"/>
  </r>
  <r>
    <s v="Dog Man: Fetch-22: From the Creator of Captain Underpants (Dog Man #8)"/>
    <s v="Dav Pilkey"/>
    <n v="4.9000000000000004"/>
    <n v="12619"/>
    <n v="8"/>
    <n v="2019"/>
    <s v="Fiction"/>
    <s v="Dog Man: Fetch-22: From the Creator of Captain Underpants (Dog Man #8) Dav Pilkey"/>
    <x v="0"/>
  </r>
  <r>
    <s v="Dog Man: For Whom the Ball Rolls: From the Creator of Captain Underpants (Dog Man #7)"/>
    <s v="Dav Pilkey"/>
    <n v="4.9000000000000004"/>
    <n v="9089"/>
    <n v="8"/>
    <n v="2019"/>
    <s v="Fiction"/>
    <s v="Dog Man: For Whom the Ball Rolls: From the Creator of Captain Underpants (Dog Man #7) Dav Pilkey"/>
    <x v="0"/>
  </r>
  <r>
    <s v="Dog Man: Lord of the Fleas: From the Creator of Captain Underpants (Dog Man #5)"/>
    <s v="Dav Pilkey"/>
    <n v="4.9000000000000004"/>
    <n v="5470"/>
    <n v="6"/>
    <n v="2018"/>
    <s v="Fiction"/>
    <s v="Dog Man: Lord of the Fleas: From the Creator of Captain Underpants (Dog Man #5) Dav Pilkey"/>
    <x v="0"/>
  </r>
  <r>
    <s v="Double Down (Diary of a Wimpy Kid #11)"/>
    <s v="Jeff Kinney"/>
    <n v="4.8"/>
    <n v="5118"/>
    <n v="20"/>
    <n v="2016"/>
    <s v="Fiction"/>
    <s v="Double Down (Diary of a Wimpy Kid #11) Jeff Kinney"/>
    <x v="0"/>
  </r>
  <r>
    <s v="Dover Creative Haven Art Nouveau Animal Designs Coloring Book (Creative Haven Coloring Books)"/>
    <s v="Marty Noble"/>
    <n v="4.5999999999999996"/>
    <n v="2134"/>
    <n v="5"/>
    <n v="2015"/>
    <s v="Non Fiction"/>
    <s v="Dover Creative Haven Art Nouveau Animal Designs Coloring Book (Creative Haven Coloring Books) Marty Noble"/>
    <x v="0"/>
  </r>
  <r>
    <s v="Drive: The Surprising Truth About What Motivates Us"/>
    <s v="Daniel H. Pink"/>
    <n v="4.5"/>
    <n v="2525"/>
    <n v="16"/>
    <n v="2010"/>
    <s v="Non Fiction"/>
    <s v="Drive: The Surprising Truth About What Motivates Us Daniel H. Pink"/>
    <x v="0"/>
  </r>
  <r>
    <s v="Eat This Not That! Supermarket Survival Guide: The No-Diet Weight Loss Solution"/>
    <s v="David Zinczenko"/>
    <n v="4.5"/>
    <n v="720"/>
    <n v="1"/>
    <n v="2009"/>
    <s v="Non Fiction"/>
    <s v="Eat This Not That! Supermarket Survival Guide: The No-Diet Weight Loss Solution David Zinczenko"/>
    <x v="0"/>
  </r>
  <r>
    <s v="Eat This, Not That! Thousands of Simple Food Swaps that Can Save You 10, 20, 30 Pounds--or More!"/>
    <s v="David Zinczenko"/>
    <n v="4.3"/>
    <n v="956"/>
    <n v="14"/>
    <n v="2009"/>
    <s v="Non Fiction"/>
    <s v="Eat This, Not That! Thousands of Simple Food Swaps that Can Save You 10, 20, 30 Pounds--or More! David Zinczenko"/>
    <x v="0"/>
  </r>
  <r>
    <s v="Eat to Live: The Amazing Nutrient-Rich Program for Fast and Sustained Weight Loss, Revised Edition"/>
    <s v="Joel Fuhrman MD"/>
    <n v="4.5"/>
    <n v="6346"/>
    <n v="9"/>
    <n v="2011"/>
    <s v="Non Fiction"/>
    <s v="Eat to Live: The Amazing Nutrient-Rich Program for Fast and Sustained Weight Loss, Revised Edition Joel Fuhrman MD"/>
    <x v="0"/>
  </r>
  <r>
    <s v="Eclipse (Twilight Sagas)"/>
    <s v="Stephenie Meyer"/>
    <n v="4.7"/>
    <n v="5505"/>
    <n v="7"/>
    <n v="2009"/>
    <s v="Fiction"/>
    <s v="Eclipse (Twilight Sagas) Stephenie Meyer"/>
    <x v="0"/>
  </r>
  <r>
    <s v="Eclipse (Twilight)"/>
    <s v="Stephenie Meyer"/>
    <n v="4.7"/>
    <n v="5505"/>
    <n v="18"/>
    <n v="2009"/>
    <s v="Fiction"/>
    <s v="Eclipse (Twilight) Stephenie Meyer"/>
    <x v="0"/>
  </r>
  <r>
    <s v="Educated: A Memoir"/>
    <s v="Tara Westover"/>
    <n v="4.7"/>
    <n v="28729"/>
    <n v="15"/>
    <n v="2018"/>
    <s v="Non Fiction"/>
    <s v="Educated: A Memoir Tara Westover"/>
    <x v="0"/>
  </r>
  <r>
    <s v="Enchanted Forest: An Inky Quest and Coloring book (Activity Books, Mindfulness and Meditation, Illustrated Floral Prints…"/>
    <s v="Johanna Basford"/>
    <n v="4.7"/>
    <n v="5413"/>
    <n v="9"/>
    <n v="2015"/>
    <s v="Non Fiction"/>
    <s v="Enchanted Forest: An Inky Quest and Coloring book (Activity Books, Mindfulness and Meditation, Illustrated Floral Prints… Johanna Basford"/>
    <x v="0"/>
  </r>
  <r>
    <s v="Fahrenheit 451"/>
    <s v="Ray Bradbury"/>
    <n v="4.5999999999999996"/>
    <n v="10721"/>
    <n v="8"/>
    <n v="2016"/>
    <s v="Fiction"/>
    <s v="Fahrenheit 451 Ray Bradbury"/>
    <x v="0"/>
  </r>
  <r>
    <s v="Fantastic Beasts and Where to Find Them: The Original Screenplay (Harry Potter)"/>
    <s v="J.K. Rowling"/>
    <n v="4.7"/>
    <n v="4370"/>
    <n v="15"/>
    <n v="2016"/>
    <s v="Fiction"/>
    <s v="Fantastic Beasts and Where to Find Them: The Original Screenplay (Harry Potter) J.K. Rowling"/>
    <x v="0"/>
  </r>
  <r>
    <s v="Fear: Trump in the White House"/>
    <s v="Bob Woodward"/>
    <n v="4.4000000000000004"/>
    <n v="6042"/>
    <n v="2"/>
    <n v="2018"/>
    <s v="Non Fiction"/>
    <s v="Fear: Trump in the White House Bob Woodward"/>
    <x v="0"/>
  </r>
  <r>
    <s v="Fifty Shades Darker"/>
    <s v="E L James"/>
    <n v="4.4000000000000004"/>
    <n v="23631"/>
    <n v="7"/>
    <n v="2012"/>
    <s v="Fiction"/>
    <s v="Fifty Shades Darker E L James"/>
    <x v="0"/>
  </r>
  <r>
    <s v="Fifty Shades Freed: Book Three of the Fifty Shades Trilogy (Fifty Shades of Grey Series) (English Edition)"/>
    <s v="E L James"/>
    <n v="4.5"/>
    <n v="20262"/>
    <n v="11"/>
    <n v="2012"/>
    <s v="Fiction"/>
    <s v="Fifty Shades Freed: Book Three of the Fifty Shades Trilogy (Fifty Shades of Grey Series) (English Edition) E L James"/>
    <x v="0"/>
  </r>
  <r>
    <s v="Fifty Shades of Grey: Book One of the Fifty Shades Trilogy (Fifty Shades of Grey Series)"/>
    <s v="E L James"/>
    <n v="3.8"/>
    <n v="47265"/>
    <n v="14"/>
    <n v="2012"/>
    <s v="Fiction"/>
    <s v="Fifty Shades of Grey: Book One of the Fifty Shades Trilogy (Fifty Shades of Grey Series) E L James"/>
    <x v="0"/>
  </r>
  <r>
    <s v="Fifty Shades Trilogy (Fifty Shades of Grey / Fifty Shades Darker / Fifty Shades Freed)"/>
    <s v="E L James"/>
    <n v="4.5"/>
    <n v="13964"/>
    <n v="32"/>
    <n v="2012"/>
    <s v="Fiction"/>
    <s v="Fifty Shades Trilogy (Fifty Shades of Grey / Fifty Shades Darker / Fifty Shades Freed) E L James"/>
    <x v="0"/>
  </r>
  <r>
    <s v="Fire and Fury: Inside the Trump White House"/>
    <s v="Michael Wolff"/>
    <n v="4.2"/>
    <n v="13677"/>
    <n v="6"/>
    <n v="2018"/>
    <s v="Non Fiction"/>
    <s v="Fire and Fury: Inside the Trump White House Michael Wolff"/>
    <x v="0"/>
  </r>
  <r>
    <s v="First 100 Words"/>
    <s v="Roger Priddy"/>
    <n v="4.7"/>
    <n v="17323"/>
    <n v="4"/>
    <n v="2014"/>
    <s v="Non Fiction"/>
    <s v="First 100 Words Roger Priddy"/>
    <x v="0"/>
  </r>
  <r>
    <s v="Food Rules: An Eater's Manual"/>
    <s v="Michael Pollan"/>
    <n v="4.4000000000000004"/>
    <n v="1555"/>
    <n v="9"/>
    <n v="2010"/>
    <s v="Non Fiction"/>
    <s v="Food Rules: An Eater's Manual Michael Pollan"/>
    <x v="0"/>
  </r>
  <r>
    <s v="Frozen (Little Golden Book)"/>
    <s v="RH Disney"/>
    <n v="4.7"/>
    <n v="3642"/>
    <n v="0"/>
    <n v="2014"/>
    <s v="Fiction"/>
    <s v="Frozen (Little Golden Book) RH Disney"/>
    <x v="0"/>
  </r>
  <r>
    <s v="Game Change: Obama and the Clintons, McCain and Palin, and the Race of a Lifetime"/>
    <s v="John Heilemann"/>
    <n v="4.4000000000000004"/>
    <n v="1215"/>
    <n v="9"/>
    <n v="2010"/>
    <s v="Non Fiction"/>
    <s v="Game Change: Obama and the Clintons, McCain and Palin, and the Race of a Lifetime John Heilemann"/>
    <x v="0"/>
  </r>
  <r>
    <s v="Game of Thrones Boxed Set: A Game of Thrones/A Clash of Kings/A Storm of Swords/A Feast for Crows"/>
    <s v="George R.R. Martin"/>
    <n v="4.5999999999999996"/>
    <n v="5594"/>
    <n v="5"/>
    <n v="2011"/>
    <s v="Fiction"/>
    <s v="Game of Thrones Boxed Set: A Game of Thrones/A Clash of Kings/A Storm of Swords/A Feast for Crows George R.R. Martin"/>
    <x v="0"/>
  </r>
  <r>
    <s v="George Washington's Sacred Fire"/>
    <s v="Peter A. Lillback"/>
    <n v="4.5"/>
    <n v="408"/>
    <n v="20"/>
    <n v="2010"/>
    <s v="Non Fiction"/>
    <s v="George Washington's Sacred Fire Peter A. Lillback"/>
    <x v="0"/>
  </r>
  <r>
    <s v="George Washington's Secret Six: The Spy Ring That Saved the American Revolution"/>
    <s v="Brian Kilmeade"/>
    <n v="4.5999999999999996"/>
    <n v="4799"/>
    <n v="16"/>
    <n v="2013"/>
    <s v="Non Fiction"/>
    <s v="George Washington's Secret Six: The Spy Ring That Saved the American Revolution Brian Kilmeade"/>
    <x v="0"/>
  </r>
  <r>
    <s v="Giraffes Can't Dance"/>
    <s v="Giles Andreae"/>
    <n v="4.8"/>
    <n v="14038"/>
    <n v="4"/>
    <n v="2015"/>
    <s v="Fiction"/>
    <s v="Giraffes Can't Dance Giles Andreae"/>
    <x v="0"/>
  </r>
  <r>
    <s v="Girl, Stop Apologizing: A Shame-Free Plan for Embracing and Achieving Your Goals"/>
    <s v="Rachel Hollis"/>
    <n v="4.5999999999999996"/>
    <n v="7660"/>
    <n v="12"/>
    <n v="2019"/>
    <s v="Non Fiction"/>
    <s v="Girl, Stop Apologizing: A Shame-Free Plan for Embracing and Achieving Your Goals Rachel Hollis"/>
    <x v="0"/>
  </r>
  <r>
    <s v="Girl, Wash Your Face: Stop Believing the Lies About Who You Are So You Can Become Who You Were Meant to Be"/>
    <s v="Rachel Hollis"/>
    <n v="4.5999999999999996"/>
    <n v="22288"/>
    <n v="12"/>
    <n v="2018"/>
    <s v="Non Fiction"/>
    <s v="Girl, Wash Your Face: Stop Believing the Lies About Who You Are So You Can Become Who You Were Meant to Be Rachel Hollis"/>
    <x v="0"/>
  </r>
  <r>
    <s v="Glenn Beck's Common Sense: The Case Against an Out-of-Control Government, Inspired by Thomas Paine"/>
    <s v="Glenn Beck"/>
    <n v="4.5999999999999996"/>
    <n v="1365"/>
    <n v="11"/>
    <n v="2009"/>
    <s v="Non Fiction"/>
    <s v="Glenn Beck's Common Sense: The Case Against an Out-of-Control Government, Inspired by Thomas Paine Glenn Beck"/>
    <x v="0"/>
  </r>
  <r>
    <s v="Go Set a Watchman: A Novel"/>
    <s v="Harper Lee"/>
    <n v="3.6"/>
    <n v="14982"/>
    <n v="19"/>
    <n v="2015"/>
    <s v="Fiction"/>
    <s v="Go Set a Watchman: A Novel Harper Lee"/>
    <x v="0"/>
  </r>
  <r>
    <s v="Go the F**k to Sleep"/>
    <s v="Adam Mansbach"/>
    <n v="4.8"/>
    <n v="9568"/>
    <n v="9"/>
    <n v="2011"/>
    <s v="Fiction"/>
    <s v="Go the F**k to Sleep Adam Mansbach"/>
    <x v="0"/>
  </r>
  <r>
    <s v="Going Rogue: An American Life"/>
    <s v="Sarah Palin"/>
    <n v="4.5999999999999996"/>
    <n v="1636"/>
    <n v="6"/>
    <n v="2009"/>
    <s v="Non Fiction"/>
    <s v="Going Rogue: An American Life Sarah Palin"/>
    <x v="0"/>
  </r>
  <r>
    <s v="Gone Girl"/>
    <s v="Gillian Flynn"/>
    <n v="4"/>
    <n v="57271"/>
    <n v="10"/>
    <n v="2012"/>
    <s v="Fiction"/>
    <s v="Gone Girl Gillian Flynn"/>
    <x v="0"/>
  </r>
  <r>
    <s v="Good Days Start With Gratitude: A 52 Week Guide To Cultivate An Attitude Of Gratitude: Gratitude Journal"/>
    <s v="Pretty Simple Press"/>
    <n v="4.5999999999999996"/>
    <n v="10141"/>
    <n v="6"/>
    <n v="2019"/>
    <s v="Non Fiction"/>
    <s v="Good Days Start With Gratitude: A 52 Week Guide To Cultivate An Attitude Of Gratitude: Gratitude Journal Pretty Simple Press"/>
    <x v="0"/>
  </r>
  <r>
    <s v="Good to Great: Why Some Companies Make the Leap and Others Don't"/>
    <s v="Jim Collins"/>
    <n v="4.5"/>
    <n v="3457"/>
    <n v="14"/>
    <n v="2009"/>
    <s v="Non Fiction"/>
    <s v="Good to Great: Why Some Companies Make the Leap and Others Don't Jim Collins"/>
    <x v="0"/>
  </r>
  <r>
    <s v="Goodnight Moon"/>
    <s v="Margaret Wise Brown"/>
    <n v="4.8"/>
    <n v="8837"/>
    <n v="5"/>
    <n v="2017"/>
    <s v="Fiction"/>
    <s v="Goodnight Moon Margaret Wise Brown"/>
    <x v="0"/>
  </r>
  <r>
    <s v="Goodnight, Goodnight Construction Site (Hardcover Books for Toddlers, Preschool Books for Kids)"/>
    <s v="Sherri Duskey Rinker"/>
    <n v="4.9000000000000004"/>
    <n v="7038"/>
    <n v="7"/>
    <n v="2012"/>
    <s v="Fiction"/>
    <s v="Goodnight, Goodnight Construction Site (Hardcover Books for Toddlers, Preschool Books for Kids) Sherri Duskey Rinker"/>
    <x v="0"/>
  </r>
  <r>
    <s v="Grain Brain: The Surprising Truth about Wheat, Carbs, and Sugar--Your Brain's Silent Killers"/>
    <s v="David Perlmutter MD"/>
    <n v="4.5999999999999996"/>
    <n v="5972"/>
    <n v="10"/>
    <n v="2014"/>
    <s v="Non Fiction"/>
    <s v="Grain Brain: The Surprising Truth about Wheat, Carbs, and Sugar--Your Brain's Silent Killers David Perlmutter MD"/>
    <x v="0"/>
  </r>
  <r>
    <s v="Grey: Fifty Shades of Grey as Told by Christian (Fifty Shades of Grey Series)"/>
    <s v="E L James"/>
    <n v="4.4000000000000004"/>
    <n v="25624"/>
    <n v="14"/>
    <n v="2015"/>
    <s v="Fiction"/>
    <s v="Grey: Fifty Shades of Grey as Told by Christian (Fifty Shades of Grey Series) E L James"/>
    <x v="0"/>
  </r>
  <r>
    <s v="Guts"/>
    <s v="Raina Telgemeier"/>
    <n v="4.8"/>
    <n v="5476"/>
    <n v="7"/>
    <n v="2019"/>
    <s v="Non Fiction"/>
    <s v="Guts Raina Telgemeier"/>
    <x v="0"/>
  </r>
  <r>
    <s v="Hamilton: The Revolution"/>
    <s v="Lin-Manuel Miranda"/>
    <n v="4.9000000000000004"/>
    <n v="5867"/>
    <n v="54"/>
    <n v="2016"/>
    <s v="Non Fiction"/>
    <s v="Hamilton: The Revolution Lin-Manuel Miranda"/>
    <x v="2"/>
  </r>
  <r>
    <s v="Happy, Happy, Happy: My Life and Legacy as the Duck Commander"/>
    <s v="Phil Robertson"/>
    <n v="4.8"/>
    <n v="4148"/>
    <n v="11"/>
    <n v="2013"/>
    <s v="Non Fiction"/>
    <s v="Happy, Happy, Happy: My Life and Legacy as the Duck Commander Phil Robertson"/>
    <x v="0"/>
  </r>
  <r>
    <s v="Harry Potter and the Chamber of Secrets: The Illustrated Edition (Harry Potter, Book 2)"/>
    <s v="J.K. Rowling"/>
    <n v="4.9000000000000004"/>
    <n v="19622"/>
    <n v="30"/>
    <n v="2016"/>
    <s v="Fiction"/>
    <s v="Harry Potter and the Chamber of Secrets: The Illustrated Edition (Harry Potter, Book 2) J.K. Rowling"/>
    <x v="0"/>
  </r>
  <r>
    <s v="Harry Potter and the Cursed Child, Parts 1 &amp; 2, Special Rehearsal Edition Script"/>
    <s v="J.K. Rowling"/>
    <n v="4"/>
    <n v="23973"/>
    <n v="12"/>
    <n v="2016"/>
    <s v="Fiction"/>
    <s v="Harry Potter and the Cursed Child, Parts 1 &amp; 2, Special Rehearsal Edition Script J.K. Rowling"/>
    <x v="0"/>
  </r>
  <r>
    <s v="Harry Potter and the Goblet of Fire: The Illustrated Edition (Harry Potter, Book 4) (4)"/>
    <s v="J. K. Rowling"/>
    <n v="4.9000000000000004"/>
    <n v="7758"/>
    <n v="18"/>
    <n v="2019"/>
    <s v="Fiction"/>
    <s v="Harry Potter and the Goblet of Fire: The Illustrated Edition (Harry Potter, Book 4) (4) J. K. Rowling"/>
    <x v="0"/>
  </r>
  <r>
    <s v="Harry Potter and the Prisoner of Azkaban: The Illustrated Edition (Harry Potter, Book 3)"/>
    <s v="J.K. Rowling"/>
    <n v="4.9000000000000004"/>
    <n v="3146"/>
    <n v="30"/>
    <n v="2017"/>
    <s v="Fiction"/>
    <s v="Harry Potter and the Prisoner of Azkaban: The Illustrated Edition (Harry Potter, Book 3) J.K. Rowling"/>
    <x v="0"/>
  </r>
  <r>
    <s v="Harry Potter and the Sorcerer's Stone: The Illustrated Edition (Harry Potter, Book 1)"/>
    <s v="J.K. Rowling"/>
    <n v="4.9000000000000004"/>
    <n v="10052"/>
    <n v="22"/>
    <n v="2016"/>
    <s v="Fiction"/>
    <s v="Harry Potter and the Sorcerer's Stone: The Illustrated Edition (Harry Potter, Book 1) J.K. Rowling"/>
    <x v="0"/>
  </r>
  <r>
    <s v="Harry Potter Coloring Book"/>
    <s v="Scholastic"/>
    <n v="4.7"/>
    <n v="3564"/>
    <n v="9"/>
    <n v="2015"/>
    <s v="Non Fiction"/>
    <s v="Harry Potter Coloring Book Scholastic"/>
    <x v="0"/>
  </r>
  <r>
    <s v="Harry Potter Paperback Box Set (Books 1-7)"/>
    <s v="J. K. Rowling"/>
    <n v="4.8"/>
    <n v="13471"/>
    <n v="52"/>
    <n v="2016"/>
    <s v="Fiction"/>
    <s v="Harry Potter Paperback Box Set (Books 1-7) J. K. Rowling"/>
    <x v="2"/>
  </r>
  <r>
    <s v="Have a Little Faith: A True Story"/>
    <s v="Mitch Albom"/>
    <n v="4.8"/>
    <n v="1930"/>
    <n v="4"/>
    <n v="2009"/>
    <s v="Non Fiction"/>
    <s v="Have a Little Faith: A True Story Mitch Albom"/>
    <x v="0"/>
  </r>
  <r>
    <s v="Heaven is for Real: A Little Boy's Astounding Story of His Trip to Heaven and Back"/>
    <s v="Todd Burpo"/>
    <n v="4.7"/>
    <n v="15779"/>
    <n v="10"/>
    <n v="2011"/>
    <s v="Non Fiction"/>
    <s v="Heaven is for Real: A Little Boy's Astounding Story of His Trip to Heaven and Back Todd Burpo"/>
    <x v="0"/>
  </r>
  <r>
    <s v="Hillbilly Elegy: A Memoir of a Family and Culture in Crisis"/>
    <s v="J. D. Vance"/>
    <n v="4.4000000000000004"/>
    <n v="15526"/>
    <n v="14"/>
    <n v="2016"/>
    <s v="Non Fiction"/>
    <s v="Hillbilly Elegy: A Memoir of a Family and Culture in Crisis J. D. Vance"/>
    <x v="0"/>
  </r>
  <r>
    <s v="Homebody: A Guide to Creating Spaces You Never Want to Leave"/>
    <s v="Joanna Gaines"/>
    <n v="4.8"/>
    <n v="3776"/>
    <n v="22"/>
    <n v="2018"/>
    <s v="Non Fiction"/>
    <s v="Homebody: A Guide to Creating Spaces You Never Want to Leave Joanna Gaines"/>
    <x v="0"/>
  </r>
  <r>
    <s v="How to Win Friends &amp; Influence People"/>
    <s v="Dale Carnegie"/>
    <n v="4.7"/>
    <n v="25001"/>
    <n v="11"/>
    <n v="2014"/>
    <s v="Non Fiction"/>
    <s v="How to Win Friends &amp; Influence People Dale Carnegie"/>
    <x v="0"/>
  </r>
  <r>
    <s v="Howard Stern Comes Again"/>
    <s v="Howard Stern"/>
    <n v="4.3"/>
    <n v="5272"/>
    <n v="16"/>
    <n v="2019"/>
    <s v="Non Fiction"/>
    <s v="Howard Stern Comes Again Howard Stern"/>
    <x v="0"/>
  </r>
  <r>
    <s v="Humans of New York"/>
    <s v="Brandon Stanton"/>
    <n v="4.8"/>
    <n v="3490"/>
    <n v="15"/>
    <n v="2013"/>
    <s v="Non Fiction"/>
    <s v="Humans of New York Brandon Stanton"/>
    <x v="0"/>
  </r>
  <r>
    <s v="Humans of New York : Stories"/>
    <s v="Brandon Stanton"/>
    <n v="4.9000000000000004"/>
    <n v="2812"/>
    <n v="17"/>
    <n v="2015"/>
    <s v="Non Fiction"/>
    <s v="Humans of New York : Stories Brandon Stanton"/>
    <x v="0"/>
  </r>
  <r>
    <s v="Hyperbole and a Half: Unfortunate Situations, Flawed Coping Mechanisms, Mayhem, and Other Things That Happened"/>
    <s v="Allie Brosh"/>
    <n v="4.7"/>
    <n v="4896"/>
    <n v="17"/>
    <n v="2013"/>
    <s v="Non Fiction"/>
    <s v="Hyperbole and a Half: Unfortunate Situations, Flawed Coping Mechanisms, Mayhem, and Other Things That Happened Allie Brosh"/>
    <x v="0"/>
  </r>
  <r>
    <s v="I Am Confident, Brave &amp; Beautiful: A Coloring Book for Girls"/>
    <s v="Hopscotch Girls"/>
    <n v="4.8"/>
    <n v="9737"/>
    <n v="7"/>
    <n v="2019"/>
    <s v="Non Fiction"/>
    <s v="I Am Confident, Brave &amp; Beautiful: A Coloring Book for Girls Hopscotch Girls"/>
    <x v="0"/>
  </r>
  <r>
    <s v="I, Alex Cross"/>
    <s v="James Patterson"/>
    <n v="4.5999999999999996"/>
    <n v="1320"/>
    <n v="7"/>
    <n v="2009"/>
    <s v="Fiction"/>
    <s v="I, Alex Cross James Patterson"/>
    <x v="0"/>
  </r>
  <r>
    <s v="If Animals Kissed Good Night"/>
    <s v="Ann Whitford Paul"/>
    <n v="4.8"/>
    <n v="16643"/>
    <n v="4"/>
    <n v="2017"/>
    <s v="Fiction"/>
    <s v="If Animals Kissed Good Night Ann Whitford Paul"/>
    <x v="0"/>
  </r>
  <r>
    <s v="If I Stay"/>
    <s v="Gayle Forman"/>
    <n v="4.3"/>
    <n v="7153"/>
    <n v="9"/>
    <n v="2014"/>
    <s v="Fiction"/>
    <s v="If I Stay Gayle Forman"/>
    <x v="0"/>
  </r>
  <r>
    <s v="In the Garden of Beasts: Love, Terror, and an American Family in Hitler's Berlin"/>
    <s v="Eric Larson"/>
    <n v="4.4000000000000004"/>
    <n v="4571"/>
    <n v="21"/>
    <n v="2011"/>
    <s v="Non Fiction"/>
    <s v="In the Garden of Beasts: Love, Terror, and an American Family in Hitler's Berlin Eric Larson"/>
    <x v="0"/>
  </r>
  <r>
    <s v="Inferno"/>
    <s v="Dan Brown"/>
    <n v="4.0999999999999996"/>
    <n v="29651"/>
    <n v="14"/>
    <n v="2013"/>
    <s v="Fiction"/>
    <s v="Inferno Dan Brown"/>
    <x v="0"/>
  </r>
  <r>
    <s v="Inheritance: Book IV (Inheritance Cycle)"/>
    <s v="Christopher Paolini"/>
    <n v="4.5999999999999996"/>
    <n v="5299"/>
    <n v="20"/>
    <n v="2011"/>
    <s v="Fiction"/>
    <s v="Inheritance: Book IV (Inheritance Cycle) Christopher Paolini"/>
    <x v="0"/>
  </r>
  <r>
    <s v="Instant Pot Pressure Cooker Cookbook: 500 Everyday Recipes for Beginners and Advanced Users. Try Easy and Healthy…"/>
    <s v="Jennifer Smith"/>
    <n v="4.4000000000000004"/>
    <n v="7396"/>
    <n v="13"/>
    <n v="2019"/>
    <s v="Non Fiction"/>
    <s v="Instant Pot Pressure Cooker Cookbook: 500 Everyday Recipes for Beginners and Advanced Users. Try Easy and Healthy… Jennifer Smith"/>
    <x v="0"/>
  </r>
  <r>
    <s v="It's Not Supposed to Be This Way: Finding Unexpected Strength When Disappointments Leave You Shattered"/>
    <s v="Lysa TerKeurst"/>
    <n v="4.8"/>
    <n v="7062"/>
    <n v="12"/>
    <n v="2019"/>
    <s v="Non Fiction"/>
    <s v="It's Not Supposed to Be This Way: Finding Unexpected Strength When Disappointments Leave You Shattered Lysa TerKeurst"/>
    <x v="0"/>
  </r>
  <r>
    <s v="Jesus Calling: Enjoying Peace in His Presence (with Scripture References)"/>
    <s v="Sarah Young"/>
    <n v="4.9000000000000004"/>
    <n v="19576"/>
    <n v="8"/>
    <n v="2011"/>
    <s v="Non Fiction"/>
    <s v="Jesus Calling: Enjoying Peace in His Presence (with Scripture References) Sarah Young"/>
    <x v="0"/>
  </r>
  <r>
    <s v="JOURNEY TO THE ICE P"/>
    <s v="RH Disney"/>
    <n v="4.5999999999999996"/>
    <n v="978"/>
    <n v="0"/>
    <n v="2014"/>
    <s v="Fiction"/>
    <s v="JOURNEY TO THE ICE P RH Disney"/>
    <x v="0"/>
  </r>
  <r>
    <s v="Joyland (Hard Case Crime)"/>
    <s v="Stephen King"/>
    <n v="4.5"/>
    <n v="4748"/>
    <n v="12"/>
    <n v="2013"/>
    <s v="Fiction"/>
    <s v="Joyland (Hard Case Crime) Stephen King"/>
    <x v="0"/>
  </r>
  <r>
    <s v="Killers of the Flower Moon: The Osage Murders and the Birth of the FBI"/>
    <s v="David Grann"/>
    <n v="4.5999999999999996"/>
    <n v="8393"/>
    <n v="17"/>
    <n v="2017"/>
    <s v="Non Fiction"/>
    <s v="Killers of the Flower Moon: The Osage Murders and the Birth of the FBI David Grann"/>
    <x v="0"/>
  </r>
  <r>
    <s v="Killing Jesus (Bill O'Reilly's Killing Series)"/>
    <s v="Bill O'Reilly"/>
    <n v="4.5"/>
    <n v="11391"/>
    <n v="12"/>
    <n v="2013"/>
    <s v="Non Fiction"/>
    <s v="Killing Jesus (Bill O'Reilly's Killing Series) Bill O'Reilly"/>
    <x v="0"/>
  </r>
  <r>
    <s v="Killing Kennedy: The End of Camelot"/>
    <s v="Bill O'Reilly"/>
    <n v="4.5999999999999996"/>
    <n v="8634"/>
    <n v="25"/>
    <n v="2012"/>
    <s v="Non Fiction"/>
    <s v="Killing Kennedy: The End of Camelot Bill O'Reilly"/>
    <x v="0"/>
  </r>
  <r>
    <s v="Killing Lincoln: The Shocking Assassination that Changed America Forever (Bill O'Reilly's Killing Series)"/>
    <s v="Bill O'Reilly"/>
    <n v="4.7"/>
    <n v="9342"/>
    <n v="10"/>
    <n v="2011"/>
    <s v="Non Fiction"/>
    <s v="Killing Lincoln: The Shocking Assassination that Changed America Forever (Bill O'Reilly's Killing Series) Bill O'Reilly"/>
    <x v="0"/>
  </r>
  <r>
    <s v="Killing Patton: The Strange Death of World War II's Most Audacious General (Bill O'Reilly's Killing Series)"/>
    <s v="Bill O'Reilly"/>
    <n v="4.5999999999999996"/>
    <n v="10927"/>
    <n v="6"/>
    <n v="2014"/>
    <s v="Non Fiction"/>
    <s v="Killing Patton: The Strange Death of World War II's Most Audacious General (Bill O'Reilly's Killing Series) Bill O'Reilly"/>
    <x v="0"/>
  </r>
  <r>
    <s v="Killing Reagan: The Violent Assault That Changed a Presidency (Bill O'Reilly's Killing Series)"/>
    <s v="Bill O'Reilly"/>
    <n v="4.5999999999999996"/>
    <n v="5235"/>
    <n v="5"/>
    <n v="2015"/>
    <s v="Non Fiction"/>
    <s v="Killing Reagan: The Violent Assault That Changed a Presidency (Bill O'Reilly's Killing Series) Bill O'Reilly"/>
    <x v="0"/>
  </r>
  <r>
    <s v="Killing the Rising Sun: How America Vanquished World War II Japan (Bill O'Reilly's Killing Series)"/>
    <s v="Bill O'Reilly"/>
    <n v="4.8"/>
    <n v="8916"/>
    <n v="6"/>
    <n v="2016"/>
    <s v="Non Fiction"/>
    <s v="Killing the Rising Sun: How America Vanquished World War II Japan (Bill O'Reilly's Killing Series) Bill O'Reilly"/>
    <x v="0"/>
  </r>
  <r>
    <s v="Kitchen Confidential Updated Edition: Adventures in the Culinary Underbelly (P.S.)"/>
    <s v="Anthony Bourdain"/>
    <n v="4.8"/>
    <n v="2507"/>
    <n v="8"/>
    <n v="2018"/>
    <s v="Non Fiction"/>
    <s v="Kitchen Confidential Updated Edition: Adventures in the Culinary Underbelly (P.S.) Anthony Bourdain"/>
    <x v="0"/>
  </r>
  <r>
    <s v="Knock-Knock Jokes for Kids"/>
    <s v="Rob Elliott"/>
    <n v="4.5"/>
    <n v="3673"/>
    <n v="4"/>
    <n v="2013"/>
    <s v="Non Fiction"/>
    <s v="Knock-Knock Jokes for Kids Rob Elliott"/>
    <x v="0"/>
  </r>
  <r>
    <s v="Last Week Tonight with John Oliver Presents A Day in the Life of Marlon Bundo (Better Bundo Book, LGBT Childrens Book)"/>
    <s v="Jill Twiss"/>
    <n v="4.9000000000000004"/>
    <n v="11881"/>
    <n v="13"/>
    <n v="2018"/>
    <s v="Fiction"/>
    <s v="Last Week Tonight with John Oliver Presents A Day in the Life of Marlon Bundo (Better Bundo Book, LGBT Childrens Book) Jill Twiss"/>
    <x v="0"/>
  </r>
  <r>
    <s v="Laugh-Out-Loud Jokes for Kids"/>
    <s v="Rob Elliott"/>
    <n v="4.5999999999999996"/>
    <n v="6990"/>
    <n v="4"/>
    <n v="2013"/>
    <s v="Non Fiction"/>
    <s v="Laugh-Out-Loud Jokes for Kids Rob Elliott"/>
    <x v="0"/>
  </r>
  <r>
    <s v="Lean In: Women, Work, and the Will to Lead"/>
    <s v="Sheryl Sandberg"/>
    <n v="4.5"/>
    <n v="6132"/>
    <n v="13"/>
    <n v="2013"/>
    <s v="Non Fiction"/>
    <s v="Lean In: Women, Work, and the Will to Lead Sheryl Sandberg"/>
    <x v="0"/>
  </r>
  <r>
    <s v="Leonardo da Vinci"/>
    <s v="Walter Isaacson"/>
    <n v="4.5"/>
    <n v="3014"/>
    <n v="21"/>
    <n v="2017"/>
    <s v="Non Fiction"/>
    <s v="Leonardo da Vinci Walter Isaacson"/>
    <x v="0"/>
  </r>
  <r>
    <s v="Lettering and Modern Calligraphy: A Beginner's Guide: Learn Hand Lettering and Brush Lettering"/>
    <s v="Paper Peony Press"/>
    <n v="4.4000000000000004"/>
    <n v="7550"/>
    <n v="6"/>
    <n v="2018"/>
    <s v="Non Fiction"/>
    <s v="Lettering and Modern Calligraphy: A Beginner's Guide: Learn Hand Lettering and Brush Lettering Paper Peony Press"/>
    <x v="0"/>
  </r>
  <r>
    <s v="Liberty and Tyranny: A Conservative Manifesto"/>
    <s v="Mark R. Levin"/>
    <n v="4.8"/>
    <n v="3828"/>
    <n v="15"/>
    <n v="2009"/>
    <s v="Non Fiction"/>
    <s v="Liberty and Tyranny: A Conservative Manifesto Mark R. Levin"/>
    <x v="0"/>
  </r>
  <r>
    <s v="Life"/>
    <s v="Keith Richards"/>
    <n v="4.5"/>
    <n v="2752"/>
    <n v="18"/>
    <n v="2010"/>
    <s v="Non Fiction"/>
    <s v="Life Keith Richards"/>
    <x v="0"/>
  </r>
  <r>
    <s v="Little Bee: A Novel"/>
    <s v="Chris Cleave"/>
    <n v="4.0999999999999996"/>
    <n v="1467"/>
    <n v="10"/>
    <n v="2010"/>
    <s v="Fiction"/>
    <s v="Little Bee: A Novel Chris Cleave"/>
    <x v="0"/>
  </r>
  <r>
    <s v="Little Blue Truck"/>
    <s v="Alice Schertle"/>
    <n v="4.9000000000000004"/>
    <n v="1884"/>
    <n v="0"/>
    <n v="2014"/>
    <s v="Fiction"/>
    <s v="Little Blue Truck Alice Schertle"/>
    <x v="0"/>
  </r>
  <r>
    <s v="Little Fires Everywhere"/>
    <s v="Celeste Ng"/>
    <n v="4.5"/>
    <n v="25706"/>
    <n v="12"/>
    <n v="2018"/>
    <s v="Fiction"/>
    <s v="Little Fires Everywhere Celeste Ng"/>
    <x v="0"/>
  </r>
  <r>
    <s v="Looking for Alaska"/>
    <s v="John Green"/>
    <n v="4.5"/>
    <n v="8491"/>
    <n v="7"/>
    <n v="2014"/>
    <s v="Fiction"/>
    <s v="Looking for Alaska John Green"/>
    <x v="0"/>
  </r>
  <r>
    <s v="Love Wins: A Book About Heaven, Hell, and the Fate of Every Person Who Ever Lived"/>
    <s v="Rob Bell"/>
    <n v="4.2"/>
    <n v="1649"/>
    <n v="13"/>
    <n v="2011"/>
    <s v="Non Fiction"/>
    <s v="Love Wins: A Book About Heaven, Hell, and the Fate of Every Person Who Ever Lived Rob Bell"/>
    <x v="0"/>
  </r>
  <r>
    <s v="Love You Forever"/>
    <s v="Robert Munsch"/>
    <n v="4.8"/>
    <n v="18613"/>
    <n v="5"/>
    <n v="2014"/>
    <s v="Fiction"/>
    <s v="Love You Forever Robert Munsch"/>
    <x v="0"/>
  </r>
  <r>
    <s v="Magnolia Table: A Collection of Recipes for Gathering"/>
    <s v="Joanna Gaines"/>
    <n v="4.8"/>
    <n v="9867"/>
    <n v="16"/>
    <n v="2018"/>
    <s v="Non Fiction"/>
    <s v="Magnolia Table: A Collection of Recipes for Gathering Joanna Gaines"/>
    <x v="0"/>
  </r>
  <r>
    <s v="Make It Ahead: A Barefoot Contessa Cookbook"/>
    <s v="Ina Garten"/>
    <n v="4.5"/>
    <n v="1386"/>
    <n v="20"/>
    <n v="2014"/>
    <s v="Non Fiction"/>
    <s v="Make It Ahead: A Barefoot Contessa Cookbook Ina Garten"/>
    <x v="0"/>
  </r>
  <r>
    <s v="Make Your Bed: Little Things That Can Change Your Life...And Maybe the World"/>
    <s v="Admiral William H. McRaven"/>
    <n v="4.7"/>
    <n v="10199"/>
    <n v="11"/>
    <n v="2017"/>
    <s v="Non Fiction"/>
    <s v="Make Your Bed: Little Things That Can Change Your Life...And Maybe the World Admiral William H. McRaven"/>
    <x v="0"/>
  </r>
  <r>
    <s v="Mastering the Art of French Cooking, Vol. 2"/>
    <s v="Julia Child"/>
    <n v="4.8"/>
    <n v="2926"/>
    <n v="27"/>
    <n v="2009"/>
    <s v="Non Fiction"/>
    <s v="Mastering the Art of French Cooking, Vol. 2 Julia Child"/>
    <x v="0"/>
  </r>
  <r>
    <s v="Milk and Honey"/>
    <s v="Rupi Kaur"/>
    <n v="4.7"/>
    <n v="17739"/>
    <n v="8"/>
    <n v="2016"/>
    <s v="Non Fiction"/>
    <s v="Milk and Honey Rupi Kaur"/>
    <x v="0"/>
  </r>
  <r>
    <s v="Milk and Vine: Inspirational Quotes From Classic Vines"/>
    <s v="Adam Gasiewski"/>
    <n v="4.4000000000000004"/>
    <n v="3113"/>
    <n v="6"/>
    <n v="2017"/>
    <s v="Non Fiction"/>
    <s v="Milk and Vine: Inspirational Quotes From Classic Vines Adam Gasiewski"/>
    <x v="0"/>
  </r>
  <r>
    <s v="Mindset: The New Psychology of Success"/>
    <s v="Carol S. Dweck"/>
    <n v="4.5999999999999996"/>
    <n v="5542"/>
    <n v="10"/>
    <n v="2014"/>
    <s v="Non Fiction"/>
    <s v="Mindset: The New Psychology of Success Carol S. Dweck"/>
    <x v="0"/>
  </r>
  <r>
    <s v="Mockingjay (The Hunger Games)"/>
    <s v="Suzanne Collins"/>
    <n v="4.5"/>
    <n v="26741"/>
    <n v="8"/>
    <n v="2010"/>
    <s v="Fiction"/>
    <s v="Mockingjay (The Hunger Games) Suzanne Collins"/>
    <x v="0"/>
  </r>
  <r>
    <s v="National Geographic Kids Why?: Over 1,111 Answers to Everything"/>
    <s v="Crispin Boyer"/>
    <n v="4.8"/>
    <n v="5347"/>
    <n v="16"/>
    <n v="2019"/>
    <s v="Non Fiction"/>
    <s v="National Geographic Kids Why?: Over 1,111 Answers to Everything Crispin Boyer"/>
    <x v="0"/>
  </r>
  <r>
    <s v="National Geographic Little Kids First Big Book of Why (National Geographic Little Kids First Big Books)"/>
    <s v="Amy Shields"/>
    <n v="4.8"/>
    <n v="7866"/>
    <n v="11"/>
    <n v="2019"/>
    <s v="Non Fiction"/>
    <s v="National Geographic Little Kids First Big Book of Why (National Geographic Little Kids First Big Books) Amy Shields"/>
    <x v="0"/>
  </r>
  <r>
    <s v="New Moon (The Twilight Saga)"/>
    <s v="Stephenie Meyer"/>
    <n v="4.5999999999999996"/>
    <n v="5680"/>
    <n v="10"/>
    <n v="2009"/>
    <s v="Fiction"/>
    <s v="New Moon (The Twilight Saga) Stephenie Meyer"/>
    <x v="0"/>
  </r>
  <r>
    <s v="Night (Night)"/>
    <s v="Elie Wiesel"/>
    <n v="4.7"/>
    <n v="5178"/>
    <n v="9"/>
    <n v="2016"/>
    <s v="Non Fiction"/>
    <s v="Night (Night) Elie Wiesel"/>
    <x v="0"/>
  </r>
  <r>
    <s v="No Easy Day: The Autobiography of a Navy Seal: The Firsthand Account of the Mission That Killed Osama Bin Laden"/>
    <s v="Mark Owen"/>
    <n v="4.5999999999999996"/>
    <n v="8093"/>
    <n v="14"/>
    <n v="2012"/>
    <s v="Non Fiction"/>
    <s v="No Easy Day: The Autobiography of a Navy Seal: The Firsthand Account of the Mission That Killed Osama Bin Laden Mark Owen"/>
    <x v="0"/>
  </r>
  <r>
    <s v="Obama: An Intimate Portrait"/>
    <s v="Pete Souza"/>
    <n v="4.9000000000000004"/>
    <n v="3192"/>
    <n v="22"/>
    <n v="2017"/>
    <s v="Non Fiction"/>
    <s v="Obama: An Intimate Portrait Pete Souza"/>
    <x v="0"/>
  </r>
  <r>
    <s v="Oh, the Places You'll Go!"/>
    <s v="Dr. Seuss"/>
    <n v="4.9000000000000004"/>
    <n v="21834"/>
    <n v="8"/>
    <n v="2012"/>
    <s v="Fiction"/>
    <s v="Oh, the Places You'll Go! Dr. Seuss"/>
    <x v="0"/>
  </r>
  <r>
    <s v="Old School (Diary of a Wimpy Kid #10)"/>
    <s v="Jeff Kinney"/>
    <n v="4.8"/>
    <n v="6169"/>
    <n v="7"/>
    <n v="2015"/>
    <s v="Fiction"/>
    <s v="Old School (Diary of a Wimpy Kid #10) Jeff Kinney"/>
    <x v="0"/>
  </r>
  <r>
    <s v="Olive Kitteridge"/>
    <s v="Elizabeth Strout"/>
    <n v="4.2"/>
    <n v="4519"/>
    <n v="12"/>
    <n v="2009"/>
    <s v="Fiction"/>
    <s v="Olive Kitteridge Elizabeth Strout"/>
    <x v="0"/>
  </r>
  <r>
    <s v="One Thousand Gifts: A Dare to Live Fully Right Where You Are"/>
    <s v="Ann Voskamp"/>
    <n v="4.5999999999999996"/>
    <n v="3163"/>
    <n v="13"/>
    <n v="2011"/>
    <s v="Non Fiction"/>
    <s v="One Thousand Gifts: A Dare to Live Fully Right Where You Are Ann Voskamp"/>
    <x v="0"/>
  </r>
  <r>
    <s v="Option B: Facing Adversity, Building Resilience, and Finding Joy"/>
    <s v="Sheryl Sandberg"/>
    <n v="4.5"/>
    <n v="1831"/>
    <n v="9"/>
    <n v="2017"/>
    <s v="Non Fiction"/>
    <s v="Option B: Facing Adversity, Building Resilience, and Finding Joy Sheryl Sandberg"/>
    <x v="0"/>
  </r>
  <r>
    <s v="Origin: A Novel (Robert Langdon)"/>
    <s v="Dan Brown"/>
    <n v="4.3"/>
    <n v="18904"/>
    <n v="13"/>
    <n v="2017"/>
    <s v="Fiction"/>
    <s v="Origin: A Novel (Robert Langdon) Dan Brown"/>
    <x v="0"/>
  </r>
  <r>
    <s v="Orphan Train"/>
    <s v="Christina Baker Kline"/>
    <n v="4.5999999999999996"/>
    <n v="21930"/>
    <n v="11"/>
    <n v="2014"/>
    <s v="Fiction"/>
    <s v="Orphan Train Christina Baker Kline"/>
    <x v="0"/>
  </r>
  <r>
    <s v="Outliers: The Story of Success"/>
    <s v="Malcolm Gladwell"/>
    <n v="4.5999999999999996"/>
    <n v="10426"/>
    <n v="20"/>
    <n v="2009"/>
    <s v="Non Fiction"/>
    <s v="Outliers: The Story of Success Malcolm Gladwell"/>
    <x v="0"/>
  </r>
  <r>
    <s v="P is for Potty! (Sesame Street) (Lift-the-Flap)"/>
    <s v="Naomi Kleinberg"/>
    <n v="4.7"/>
    <n v="10820"/>
    <n v="5"/>
    <n v="2018"/>
    <s v="Non Fiction"/>
    <s v="P is for Potty! (Sesame Street) (Lift-the-Flap) Naomi Kleinberg"/>
    <x v="0"/>
  </r>
  <r>
    <s v="Percy Jackson and the Olympians Paperback Boxed Set (Books 1-3)"/>
    <s v="Rick Riordan"/>
    <n v="4.8"/>
    <n v="548"/>
    <n v="2"/>
    <n v="2010"/>
    <s v="Fiction"/>
    <s v="Percy Jackson and the Olympians Paperback Boxed Set (Books 1-3) Rick Riordan"/>
    <x v="0"/>
  </r>
  <r>
    <s v="Player's Handbook (Dungeons &amp; Dragons)"/>
    <s v="Wizards RPG Team"/>
    <n v="4.8"/>
    <n v="16990"/>
    <n v="27"/>
    <n v="2017"/>
    <s v="Fiction"/>
    <s v="Player's Handbook (Dungeons &amp; Dragons) Wizards RPG Team"/>
    <x v="0"/>
  </r>
  <r>
    <s v="Pokémon Deluxe Essential Handbook: The Need-to-Know Stats and Facts on Over 700 Pokémon"/>
    <s v="Scholastic"/>
    <n v="4.7"/>
    <n v="3503"/>
    <n v="9"/>
    <n v="2016"/>
    <s v="Fiction"/>
    <s v="Pokémon Deluxe Essential Handbook: The Need-to-Know Stats and Facts on Over 700 Pokémon Scholastic"/>
    <x v="0"/>
  </r>
  <r>
    <s v="Proof of Heaven: A Neurosurgeon's Journey into the Afterlife"/>
    <s v="Eben Alexander"/>
    <n v="4.3"/>
    <n v="13616"/>
    <n v="10"/>
    <n v="2012"/>
    <s v="Non Fiction"/>
    <s v="Proof of Heaven: A Neurosurgeon's Journey into the Afterlife Eben Alexander"/>
    <x v="0"/>
  </r>
  <r>
    <s v="Publication Manual of the American Psychological Association, 6th Edition"/>
    <s v="American Psychological Association"/>
    <n v="4.5"/>
    <n v="8580"/>
    <n v="46"/>
    <n v="2009"/>
    <s v="Non Fiction"/>
    <s v="Publication Manual of the American Psychological Association, 6th Edition American Psychological Association"/>
    <x v="2"/>
  </r>
  <r>
    <s v="Puppy Birthday to You! (Paw Patrol) (Little Golden Book)"/>
    <s v="Golden Books"/>
    <n v="4.8"/>
    <n v="4757"/>
    <n v="4"/>
    <n v="2017"/>
    <s v="Fiction"/>
    <s v="Puppy Birthday to You! (Paw Patrol) (Little Golden Book) Golden Books"/>
    <x v="0"/>
  </r>
  <r>
    <s v="Quiet: The Power of Introverts in a World That Can't Stop Talking"/>
    <s v="Susan Cain"/>
    <n v="4.5999999999999996"/>
    <n v="10009"/>
    <n v="20"/>
    <n v="2012"/>
    <s v="Non Fiction"/>
    <s v="Quiet: The Power of Introverts in a World That Can't Stop Talking Susan Cain"/>
    <x v="0"/>
  </r>
  <r>
    <s v="Radical: Taking Back Your Faith from the American Dream"/>
    <s v="David Platt"/>
    <n v="4.7"/>
    <n v="1985"/>
    <n v="9"/>
    <n v="2010"/>
    <s v="Non Fiction"/>
    <s v="Radical: Taking Back Your Faith from the American Dream David Platt"/>
    <x v="0"/>
  </r>
  <r>
    <s v="Ready Player One: A Novel"/>
    <s v="Ernest Cline"/>
    <n v="4.5999999999999996"/>
    <n v="22536"/>
    <n v="12"/>
    <n v="2017"/>
    <s v="Fiction"/>
    <s v="Ready Player One: A Novel Ernest Cline"/>
    <x v="0"/>
  </r>
  <r>
    <s v="Rush Revere and the Brave Pilgrims: Time-Travel Adventures with Exceptional Americans (1)"/>
    <s v="Rush Limbaugh"/>
    <n v="4.9000000000000004"/>
    <n v="7150"/>
    <n v="12"/>
    <n v="2013"/>
    <s v="Fiction"/>
    <s v="Rush Revere and the Brave Pilgrims: Time-Travel Adventures with Exceptional Americans (1) Rush Limbaugh"/>
    <x v="0"/>
  </r>
  <r>
    <s v="Rush Revere and the First Patriots: Time-Travel Adventures With Exceptional Americans (2)"/>
    <s v="Rush Limbaugh"/>
    <n v="4.9000000000000004"/>
    <n v="3836"/>
    <n v="12"/>
    <n v="2014"/>
    <s v="Fiction"/>
    <s v="Rush Revere and the First Patriots: Time-Travel Adventures With Exceptional Americans (2) Rush Limbaugh"/>
    <x v="0"/>
  </r>
  <r>
    <s v="Salt, Fat, Acid, Heat: Mastering the Elements of Good Cooking"/>
    <s v="Samin Nosrat"/>
    <n v="4.8"/>
    <n v="7802"/>
    <n v="20"/>
    <n v="2018"/>
    <s v="Non Fiction"/>
    <s v="Salt, Fat, Acid, Heat: Mastering the Elements of Good Cooking Samin Nosrat"/>
    <x v="0"/>
  </r>
  <r>
    <s v="Sarah's Key"/>
    <s v="Tatiana de Rosnay"/>
    <n v="4.5999999999999996"/>
    <n v="3619"/>
    <n v="10"/>
    <n v="2010"/>
    <s v="Fiction"/>
    <s v="Sarah's Key Tatiana de Rosnay"/>
    <x v="0"/>
  </r>
  <r>
    <s v="School Zone - Big Preschool Workbook - Ages 4 and Up, Colors, Shapes, Numbers 1-10, Alphabet, Pre-Writing, Pre-Reading…"/>
    <s v="School Zone"/>
    <n v="4.8"/>
    <n v="23047"/>
    <n v="6"/>
    <n v="2018"/>
    <s v="Non Fiction"/>
    <s v="School Zone - Big Preschool Workbook - Ages 4 and Up, Colors, Shapes, Numbers 1-10, Alphabet, Pre-Writing, Pre-Reading… School Zone"/>
    <x v="0"/>
  </r>
  <r>
    <s v="Secret Garden: An Inky Treasure Hunt and Coloring Book (For Adults, mindfulness coloring)"/>
    <s v="Johanna Basford"/>
    <n v="4.7"/>
    <n v="9366"/>
    <n v="9"/>
    <n v="2015"/>
    <s v="Non Fiction"/>
    <s v="Secret Garden: An Inky Treasure Hunt and Coloring Book (For Adults, mindfulness coloring) Johanna Basford"/>
    <x v="0"/>
  </r>
  <r>
    <s v="Sh*t My Dad Says"/>
    <s v="Justin Halpern"/>
    <n v="4.7"/>
    <n v="1265"/>
    <n v="11"/>
    <n v="2010"/>
    <s v="Non Fiction"/>
    <s v="Sh*t My Dad Says Justin Halpern"/>
    <x v="0"/>
  </r>
  <r>
    <s v="Ship of Fools: How a Selfish Ruling Class Is Bringing America to the Brink of Revolution"/>
    <s v="Tucker Carlson"/>
    <n v="4.8"/>
    <n v="3923"/>
    <n v="16"/>
    <n v="2018"/>
    <s v="Non Fiction"/>
    <s v="Ship of Fools: How a Selfish Ruling Class Is Bringing America to the Brink of Revolution Tucker Carlson"/>
    <x v="0"/>
  </r>
  <r>
    <s v="Shred: The Revolutionary Diet: 6 Weeks 4 Inches 2 Sizes"/>
    <s v="Ian K. Smith M.D."/>
    <n v="4.0999999999999996"/>
    <n v="2272"/>
    <n v="6"/>
    <n v="2013"/>
    <s v="Non Fiction"/>
    <s v="Shred: The Revolutionary Diet: 6 Weeks 4 Inches 2 Sizes Ian K. Smith M.D."/>
    <x v="0"/>
  </r>
  <r>
    <s v="Sookie Stackhouse"/>
    <s v="Charlaine Harris"/>
    <n v="4.7"/>
    <n v="973"/>
    <n v="25"/>
    <n v="2009"/>
    <s v="Fiction"/>
    <s v="Sookie Stackhouse Charlaine Harris"/>
    <x v="0"/>
  </r>
  <r>
    <s v="Soul Healing Miracles: Ancient and New Sacred Wisdom, Knowledge, and Practical Techniques for Healing the Spiritual…"/>
    <s v="Zhi Gang Sha"/>
    <n v="4.5999999999999996"/>
    <n v="220"/>
    <n v="17"/>
    <n v="2013"/>
    <s v="Non Fiction"/>
    <s v="Soul Healing Miracles: Ancient and New Sacred Wisdom, Knowledge, and Practical Techniques for Healing the Spiritual… Zhi Gang Sha"/>
    <x v="0"/>
  </r>
  <r>
    <s v="Steve Jobs"/>
    <s v="Walter Isaacson"/>
    <n v="4.5999999999999996"/>
    <n v="7827"/>
    <n v="20"/>
    <n v="2011"/>
    <s v="Non Fiction"/>
    <s v="Steve Jobs Walter Isaacson"/>
    <x v="0"/>
  </r>
  <r>
    <s v="Strange Planet (Strange Planet Series)"/>
    <s v="Nathan W. Pyle"/>
    <n v="4.9000000000000004"/>
    <n v="9382"/>
    <n v="6"/>
    <n v="2019"/>
    <s v="Fiction"/>
    <s v="Strange Planet (Strange Planet Series) Nathan W. Pyle"/>
    <x v="0"/>
  </r>
  <r>
    <s v="StrengthsFinder 2.0"/>
    <s v="Gallup"/>
    <n v="4"/>
    <n v="5069"/>
    <n v="17"/>
    <n v="2009"/>
    <s v="Non Fiction"/>
    <s v="StrengthsFinder 2.0 Gallup"/>
    <x v="0"/>
  </r>
  <r>
    <s v="Super Freakonomics: Global Cooling, Patriotic Prostitutes, and Why Suicide Bombers Should Buy Life Insurance"/>
    <s v="Steven D. Levitt"/>
    <n v="4.5"/>
    <n v="1583"/>
    <n v="18"/>
    <n v="2009"/>
    <s v="Non Fiction"/>
    <s v="Super Freakonomics: Global Cooling, Patriotic Prostitutes, and Why Suicide Bombers Should Buy Life Insurance Steven D. Levitt"/>
    <x v="0"/>
  </r>
  <r>
    <s v="Switch: How to Change Things When Change Is Hard"/>
    <s v="Chip Heath"/>
    <n v="4.5999999999999996"/>
    <n v="1907"/>
    <n v="13"/>
    <n v="2010"/>
    <s v="Non Fiction"/>
    <s v="Switch: How to Change Things When Change Is Hard Chip Heath"/>
    <x v="0"/>
  </r>
  <r>
    <s v="Sycamore Row (Jake Brigance)"/>
    <s v="John Grisham"/>
    <n v="4.5"/>
    <n v="23114"/>
    <n v="18"/>
    <n v="2013"/>
    <s v="Fiction"/>
    <s v="Sycamore Row (Jake Brigance) John Grisham"/>
    <x v="0"/>
  </r>
  <r>
    <s v="Teach Like a Champion: 49 Techniques that Put Students on the Path to College"/>
    <s v="Doug Lemov"/>
    <n v="4.4000000000000004"/>
    <n v="637"/>
    <n v="20"/>
    <n v="2010"/>
    <s v="Non Fiction"/>
    <s v="Teach Like a Champion: 49 Techniques that Put Students on the Path to College Doug Lemov"/>
    <x v="0"/>
  </r>
  <r>
    <s v="The 17 Day Diet: A Doctor's Plan Designed for Rapid Results"/>
    <s v="Mike Moreno"/>
    <n v="4.3"/>
    <n v="2314"/>
    <n v="22"/>
    <n v="2011"/>
    <s v="Non Fiction"/>
    <s v="The 17 Day Diet: A Doctor's Plan Designed for Rapid Results Mike Moreno"/>
    <x v="0"/>
  </r>
  <r>
    <s v="The 4 Hour Body: An Uncommon Guide to Rapid Fat Loss, Incredible Sex and Becoming Superhuman"/>
    <s v="Timothy Ferriss"/>
    <n v="4.3"/>
    <n v="4587"/>
    <n v="21"/>
    <n v="2011"/>
    <s v="Non Fiction"/>
    <s v="The 4 Hour Body: An Uncommon Guide to Rapid Fat Loss, Incredible Sex and Becoming Superhuman Timothy Ferriss"/>
    <x v="0"/>
  </r>
  <r>
    <s v="The 5 Love Languages: The Secret to Love That Lasts"/>
    <s v="Gary Chapman"/>
    <n v="4.7"/>
    <n v="3477"/>
    <n v="28"/>
    <n v="2010"/>
    <s v="Non Fiction"/>
    <s v="The 5 Love Languages: The Secret to Love That Lasts Gary Chapman"/>
    <x v="0"/>
  </r>
  <r>
    <s v="The 5000 Year Leap"/>
    <s v="W. Cleon Skousen"/>
    <n v="4.8"/>
    <n v="1680"/>
    <n v="12"/>
    <n v="2009"/>
    <s v="Non Fiction"/>
    <s v="The 5000 Year Leap W. Cleon Skousen"/>
    <x v="0"/>
  </r>
  <r>
    <s v="The 7 Habits of Highly Effective People: Powerful Lessons in Personal Change"/>
    <s v="Stephen R. Covey"/>
    <n v="4.5999999999999996"/>
    <n v="9325"/>
    <n v="24"/>
    <n v="2009"/>
    <s v="Non Fiction"/>
    <s v="The 7 Habits of Highly Effective People: Powerful Lessons in Personal Change Stephen R. Covey"/>
    <x v="0"/>
  </r>
  <r>
    <s v="The Alchemist"/>
    <s v="Paulo Coelho"/>
    <n v="4.7"/>
    <n v="35799"/>
    <n v="39"/>
    <n v="2014"/>
    <s v="Fiction"/>
    <s v="The Alchemist Paulo Coelho"/>
    <x v="2"/>
  </r>
  <r>
    <s v="The Amateur"/>
    <s v="Edward Klein"/>
    <n v="4.5999999999999996"/>
    <n v="2580"/>
    <n v="9"/>
    <n v="2012"/>
    <s v="Non Fiction"/>
    <s v="The Amateur Edward Klein"/>
    <x v="0"/>
  </r>
  <r>
    <s v="The Art of Racing in the Rain: A Novel"/>
    <s v="Garth Stein"/>
    <n v="4.7"/>
    <n v="11813"/>
    <n v="10"/>
    <n v="2010"/>
    <s v="Fiction"/>
    <s v="The Art of Racing in the Rain: A Novel Garth Stein"/>
    <x v="0"/>
  </r>
  <r>
    <s v="The Big Short: Inside the Doomsday Machine"/>
    <s v="Michael Lewis"/>
    <n v="4.7"/>
    <n v="3536"/>
    <n v="17"/>
    <n v="2010"/>
    <s v="Non Fiction"/>
    <s v="The Big Short: Inside the Doomsday Machine Michael Lewis"/>
    <x v="0"/>
  </r>
  <r>
    <s v="The Blood of Olympus (The Heroes of Olympus (5))"/>
    <s v="Rick Riordan"/>
    <n v="4.8"/>
    <n v="6600"/>
    <n v="11"/>
    <n v="2014"/>
    <s v="Fiction"/>
    <s v="The Blood of Olympus (The Heroes of Olympus (5)) Rick Riordan"/>
    <x v="0"/>
  </r>
  <r>
    <s v="The Blood Sugar Solution: The UltraHealthy Program for Losing Weight, Preventing Disease, and Feeling Great Now!"/>
    <s v="Mark Hyman M.D."/>
    <n v="4.2"/>
    <n v="1789"/>
    <n v="14"/>
    <n v="2012"/>
    <s v="Non Fiction"/>
    <s v="The Blood Sugar Solution: The UltraHealthy Program for Losing Weight, Preventing Disease, and Feeling Great Now! Mark Hyman M.D."/>
    <x v="0"/>
  </r>
  <r>
    <s v="The Body Keeps the Score: Brain, Mind, and Body in the Healing of Trauma"/>
    <s v="Bessel van der Kolk M.D."/>
    <n v="4.8"/>
    <n v="12361"/>
    <n v="12"/>
    <n v="2019"/>
    <s v="Non Fiction"/>
    <s v="The Body Keeps the Score: Brain, Mind, and Body in the Healing of Trauma Bessel van der Kolk M.D."/>
    <x v="0"/>
  </r>
  <r>
    <s v="The Book of Basketball: The NBA According to The Sports Guy"/>
    <s v="Bill Simmons"/>
    <n v="4.7"/>
    <n v="858"/>
    <n v="53"/>
    <n v="2009"/>
    <s v="Non Fiction"/>
    <s v="The Book of Basketball: The NBA According to The Sports Guy Bill Simmons"/>
    <x v="2"/>
  </r>
  <r>
    <s v="The Book Thief"/>
    <s v="Markus Zusak"/>
    <n v="4.5999999999999996"/>
    <n v="23148"/>
    <n v="6"/>
    <n v="2013"/>
    <s v="Fiction"/>
    <s v="The Book Thief Markus Zusak"/>
    <x v="0"/>
  </r>
  <r>
    <s v="The Book with No Pictures"/>
    <s v="B. J. Novak"/>
    <n v="4.8"/>
    <n v="8081"/>
    <n v="8"/>
    <n v="2014"/>
    <s v="Fiction"/>
    <s v="The Book with No Pictures B. J. Novak"/>
    <x v="0"/>
  </r>
  <r>
    <s v="The Boys in the Boat: Nine Americans and Their Epic Quest for Gold at the 1936 Berlin Olympics"/>
    <s v="Daniel James Brown"/>
    <n v="4.8"/>
    <n v="23358"/>
    <n v="12"/>
    <n v="2014"/>
    <s v="Non Fiction"/>
    <s v="The Boys in the Boat: Nine Americans and Their Epic Quest for Gold at the 1936 Berlin Olympics Daniel James Brown"/>
    <x v="0"/>
  </r>
  <r>
    <s v="The Casual Vacancy"/>
    <s v="J.K. Rowling"/>
    <n v="3.3"/>
    <n v="9372"/>
    <n v="12"/>
    <n v="2012"/>
    <s v="Fiction"/>
    <s v="The Casual Vacancy J.K. Rowling"/>
    <x v="0"/>
  </r>
  <r>
    <s v="The China Study: The Most Comprehensive Study of Nutrition Ever Conducted And the Startling Implications for Diet…"/>
    <s v="Thomas Campbell"/>
    <n v="4.7"/>
    <n v="4633"/>
    <n v="21"/>
    <n v="2011"/>
    <s v="Non Fiction"/>
    <s v="The China Study: The Most Comprehensive Study of Nutrition Ever Conducted And the Startling Implications for Diet… Thomas Campbell"/>
    <x v="0"/>
  </r>
  <r>
    <s v="The Complete Ketogenic Diet for Beginners: Your Essential Guide to Living the Keto Lifestyle"/>
    <s v="Amy Ramos"/>
    <n v="4.3"/>
    <n v="13061"/>
    <n v="6"/>
    <n v="2018"/>
    <s v="Non Fiction"/>
    <s v="The Complete Ketogenic Diet for Beginners: Your Essential Guide to Living the Keto Lifestyle Amy Ramos"/>
    <x v="0"/>
  </r>
  <r>
    <s v="The Confession: A Novel"/>
    <s v="John Grisham"/>
    <n v="4.3"/>
    <n v="3523"/>
    <n v="13"/>
    <n v="2010"/>
    <s v="Fiction"/>
    <s v="The Confession: A Novel John Grisham"/>
    <x v="0"/>
  </r>
  <r>
    <s v="The Constitution of the United States"/>
    <s v="Delegates of the Constitutional"/>
    <n v="4.8"/>
    <n v="2774"/>
    <n v="0"/>
    <n v="2016"/>
    <s v="Non Fiction"/>
    <s v="The Constitution of the United States Delegates of the Constitutional"/>
    <x v="0"/>
  </r>
  <r>
    <s v="The Daily Show with Jon Stewart Presents Earth (The Book): A Visitor's Guide to the Human Race"/>
    <s v="Jon Stewart"/>
    <n v="4.4000000000000004"/>
    <n v="440"/>
    <n v="11"/>
    <n v="2010"/>
    <s v="Non Fiction"/>
    <s v="The Daily Show with Jon Stewart Presents Earth (The Book): A Visitor's Guide to the Human Race Jon Stewart"/>
    <x v="0"/>
  </r>
  <r>
    <s v="The Day the Crayons Quit"/>
    <s v="Drew Daywalt"/>
    <n v="4.8"/>
    <n v="8922"/>
    <n v="9"/>
    <n v="2013"/>
    <s v="Fiction"/>
    <s v="The Day the Crayons Quit Drew Daywalt"/>
    <x v="0"/>
  </r>
  <r>
    <s v="The Dukan Diet: 2 Steps to Lose the Weight, 2 Steps to Keep It Off Forever"/>
    <s v="Pierre Dukan"/>
    <n v="4.0999999999999996"/>
    <n v="2023"/>
    <n v="15"/>
    <n v="2011"/>
    <s v="Non Fiction"/>
    <s v="The Dukan Diet: 2 Steps to Lose the Weight, 2 Steps to Keep It Off Forever Pierre Dukan"/>
    <x v="0"/>
  </r>
  <r>
    <s v="The Elegance of the Hedgehog"/>
    <s v="Muriel Barbery"/>
    <n v="4"/>
    <n v="1859"/>
    <n v="11"/>
    <n v="2009"/>
    <s v="Fiction"/>
    <s v="The Elegance of the Hedgehog Muriel Barbery"/>
    <x v="0"/>
  </r>
  <r>
    <s v="The Fault in Our Stars"/>
    <s v="John Green"/>
    <n v="4.7"/>
    <n v="50482"/>
    <n v="13"/>
    <n v="2012"/>
    <s v="Fiction"/>
    <s v="The Fault in Our Stars John Green"/>
    <x v="0"/>
  </r>
  <r>
    <s v="The Five Dysfunctions of a Team: A Leadership Fable"/>
    <s v="Patrick Lencioni"/>
    <n v="4.5999999999999996"/>
    <n v="3207"/>
    <n v="6"/>
    <n v="2009"/>
    <s v="Non Fiction"/>
    <s v="The Five Dysfunctions of a Team: A Leadership Fable Patrick Lencioni"/>
    <x v="0"/>
  </r>
  <r>
    <s v="The Five Love Languages: How to Express Heartfelt Commitment to Your Mate"/>
    <s v="Gary Chapman"/>
    <n v="4.5999999999999996"/>
    <n v="803"/>
    <n v="9"/>
    <n v="2009"/>
    <s v="Non Fiction"/>
    <s v="The Five Love Languages: How to Express Heartfelt Commitment to Your Mate Gary Chapman"/>
    <x v="0"/>
  </r>
  <r>
    <s v="The Four Agreements: A Practical Guide to Personal Freedom (A Toltec Wisdom Book)"/>
    <s v="Don Miguel Ruiz"/>
    <n v="4.7"/>
    <n v="23308"/>
    <n v="6"/>
    <n v="2013"/>
    <s v="Non Fiction"/>
    <s v="The Four Agreements: A Practical Guide to Personal Freedom (A Toltec Wisdom Book) Don Miguel Ruiz"/>
    <x v="0"/>
  </r>
  <r>
    <s v="The Getaway"/>
    <s v="Jeff Kinney"/>
    <n v="4.8"/>
    <n v="5836"/>
    <n v="0"/>
    <n v="2017"/>
    <s v="Fiction"/>
    <s v="The Getaway Jeff Kinney"/>
    <x v="0"/>
  </r>
  <r>
    <s v="The Girl on the Train"/>
    <s v="Paula Hawkins"/>
    <n v="4.0999999999999996"/>
    <n v="79446"/>
    <n v="18"/>
    <n v="2015"/>
    <s v="Fiction"/>
    <s v="The Girl on the Train Paula Hawkins"/>
    <x v="0"/>
  </r>
  <r>
    <s v="The Girl Who Kicked the Hornet's Nest (Millennium Trilogy)"/>
    <s v="Stieg Larsson"/>
    <n v="4.7"/>
    <n v="7747"/>
    <n v="14"/>
    <n v="2010"/>
    <s v="Fiction"/>
    <s v="The Girl Who Kicked the Hornet's Nest (Millennium Trilogy) Stieg Larsson"/>
    <x v="0"/>
  </r>
  <r>
    <s v="The Girl Who Played with Fire (Millennium Series)"/>
    <s v="Stieg Larsson"/>
    <n v="4.7"/>
    <n v="7251"/>
    <n v="9"/>
    <n v="2010"/>
    <s v="Fiction"/>
    <s v="The Girl Who Played with Fire (Millennium Series) Stieg Larsson"/>
    <x v="0"/>
  </r>
  <r>
    <s v="The Girl Who Played with Fire (Millennium)"/>
    <s v="Stieg Larsson"/>
    <n v="4.7"/>
    <n v="7251"/>
    <n v="16"/>
    <n v="2009"/>
    <s v="Fiction"/>
    <s v="The Girl Who Played with Fire (Millennium) Stieg Larsson"/>
    <x v="0"/>
  </r>
  <r>
    <s v="The Girl with the Dragon Tattoo (Millennium Series)"/>
    <s v="Stieg Larsson"/>
    <n v="4.4000000000000004"/>
    <n v="10559"/>
    <n v="2"/>
    <n v="2009"/>
    <s v="Fiction"/>
    <s v="The Girl with the Dragon Tattoo (Millennium Series) Stieg Larsson"/>
    <x v="0"/>
  </r>
  <r>
    <s v="The Going-To-Bed Book"/>
    <s v="Sandra Boynton"/>
    <n v="4.8"/>
    <n v="5249"/>
    <n v="5"/>
    <n v="2016"/>
    <s v="Fiction"/>
    <s v="The Going-To-Bed Book Sandra Boynton"/>
    <x v="0"/>
  </r>
  <r>
    <s v="The Goldfinch: A Novel (Pulitzer Prize for Fiction)"/>
    <s v="Donna Tartt"/>
    <n v="3.9"/>
    <n v="33844"/>
    <n v="20"/>
    <n v="2013"/>
    <s v="Fiction"/>
    <s v="The Goldfinch: A Novel (Pulitzer Prize for Fiction) Donna Tartt"/>
    <x v="0"/>
  </r>
  <r>
    <s v="The Great Gatsby"/>
    <s v="F. Scott Fitzgerald"/>
    <n v="4.4000000000000004"/>
    <n v="11616"/>
    <n v="7"/>
    <n v="2012"/>
    <s v="Fiction"/>
    <s v="The Great Gatsby F. Scott Fitzgerald"/>
    <x v="0"/>
  </r>
  <r>
    <s v="The Guardians: A Novel"/>
    <s v="John Grisham"/>
    <n v="4.5"/>
    <n v="13609"/>
    <n v="14"/>
    <n v="2019"/>
    <s v="Fiction"/>
    <s v="The Guardians: A Novel John Grisham"/>
    <x v="0"/>
  </r>
  <r>
    <s v="The Guernsey Literary and Potato Peel Pie Society"/>
    <s v="Mary Ann Shaffer"/>
    <n v="4.7"/>
    <n v="8587"/>
    <n v="10"/>
    <n v="2009"/>
    <s v="Fiction"/>
    <s v="The Guernsey Literary and Potato Peel Pie Society Mary Ann Shaffer"/>
    <x v="0"/>
  </r>
  <r>
    <s v="The Handmaid's Tale"/>
    <s v="Margaret Atwood"/>
    <n v="4.3"/>
    <n v="29442"/>
    <n v="7"/>
    <n v="2017"/>
    <s v="Fiction"/>
    <s v="The Handmaid's Tale Margaret Atwood"/>
    <x v="0"/>
  </r>
  <r>
    <s v="The Harbinger: The Ancient Mystery that Holds the Secret of America's Future"/>
    <s v="Jonathan Cahn"/>
    <n v="4.5999999999999996"/>
    <n v="11098"/>
    <n v="13"/>
    <n v="2012"/>
    <s v="Fiction"/>
    <s v="The Harbinger: The Ancient Mystery that Holds the Secret of America's Future Jonathan Cahn"/>
    <x v="0"/>
  </r>
  <r>
    <s v="The Hate U Give"/>
    <s v="Angie Thomas"/>
    <n v="4.8"/>
    <n v="9947"/>
    <n v="11"/>
    <n v="2018"/>
    <s v="Fiction"/>
    <s v="The Hate U Give Angie Thomas"/>
    <x v="0"/>
  </r>
  <r>
    <s v="The Help"/>
    <s v="Kathryn Stockett"/>
    <n v="4.8"/>
    <n v="13871"/>
    <n v="6"/>
    <n v="2009"/>
    <s v="Fiction"/>
    <s v="The Help Kathryn Stockett"/>
    <x v="0"/>
  </r>
  <r>
    <s v="The House of Hades (Heroes of Olympus, Book 4)"/>
    <s v="Rick Riordan"/>
    <n v="4.8"/>
    <n v="6982"/>
    <n v="14"/>
    <n v="2013"/>
    <s v="Fiction"/>
    <s v="The House of Hades (Heroes of Olympus, Book 4) Rick Riordan"/>
    <x v="0"/>
  </r>
  <r>
    <s v="The Hunger Games"/>
    <s v="Suzanne Collins"/>
    <n v="4.7"/>
    <n v="32122"/>
    <n v="14"/>
    <n v="2010"/>
    <s v="Fiction"/>
    <s v="The Hunger Games Suzanne Collins"/>
    <x v="0"/>
  </r>
  <r>
    <s v="The Hunger Games (Book 1)"/>
    <s v="Suzanne Collins"/>
    <n v="4.7"/>
    <n v="32122"/>
    <n v="8"/>
    <n v="2011"/>
    <s v="Fiction"/>
    <s v="The Hunger Games (Book 1) Suzanne Collins"/>
    <x v="0"/>
  </r>
  <r>
    <s v="The Hunger Games Trilogy Boxed Set (1)"/>
    <s v="Suzanne Collins"/>
    <n v="4.8"/>
    <n v="16949"/>
    <n v="30"/>
    <n v="2011"/>
    <s v="Fiction"/>
    <s v="The Hunger Games Trilogy Boxed Set (1) Suzanne Collins"/>
    <x v="0"/>
  </r>
  <r>
    <s v="The Immortal Life of Henrietta Lacks"/>
    <s v="Rebecca Skloot"/>
    <n v="4.7"/>
    <n v="9289"/>
    <n v="13"/>
    <n v="2010"/>
    <s v="Non Fiction"/>
    <s v="The Immortal Life of Henrietta Lacks Rebecca Skloot"/>
    <x v="0"/>
  </r>
  <r>
    <s v="The Instant Pot Electric Pressure Cooker Cookbook: Easy Recipes for Fast &amp; Healthy Meals"/>
    <s v="Laurel Randolph"/>
    <n v="4.3"/>
    <n v="7368"/>
    <n v="7"/>
    <n v="2017"/>
    <s v="Non Fiction"/>
    <s v="The Instant Pot Electric Pressure Cooker Cookbook: Easy Recipes for Fast &amp; Healthy Meals Laurel Randolph"/>
    <x v="0"/>
  </r>
  <r>
    <s v="The Last Lecture"/>
    <s v="Randy Pausch"/>
    <n v="4.7"/>
    <n v="4028"/>
    <n v="9"/>
    <n v="2009"/>
    <s v="Non Fiction"/>
    <s v="The Last Lecture Randy Pausch"/>
    <x v="0"/>
  </r>
  <r>
    <s v="The Last Olympian (Percy Jackson and the Olympians, Book 5)"/>
    <s v="Rick Riordan"/>
    <n v="4.8"/>
    <n v="4628"/>
    <n v="7"/>
    <n v="2009"/>
    <s v="Fiction"/>
    <s v="The Last Olympian (Percy Jackson and the Olympians, Book 5) Rick Riordan"/>
    <x v="0"/>
  </r>
  <r>
    <s v="The Legend of Zelda: Hyrule Historia"/>
    <s v="Patrick Thorpe"/>
    <n v="4.9000000000000004"/>
    <n v="5396"/>
    <n v="20"/>
    <n v="2013"/>
    <s v="Fiction"/>
    <s v="The Legend of Zelda: Hyrule Historia Patrick Thorpe"/>
    <x v="0"/>
  </r>
  <r>
    <s v="The Lego Ideas Book: Unlock Your Imagination"/>
    <s v="Daniel Lipkowitz"/>
    <n v="4.4000000000000004"/>
    <n v="4247"/>
    <n v="13"/>
    <n v="2011"/>
    <s v="Non Fiction"/>
    <s v="The Lego Ideas Book: Unlock Your Imagination Daniel Lipkowitz"/>
    <x v="0"/>
  </r>
  <r>
    <s v="The Life-Changing Magic of Tidying Up: The Japanese Art of Decluttering and Organizing"/>
    <s v="Marie Kondō"/>
    <n v="4.5"/>
    <n v="22641"/>
    <n v="11"/>
    <n v="2015"/>
    <s v="Non Fiction"/>
    <s v="The Life-Changing Magic of Tidying Up: The Japanese Art of Decluttering and Organizing Marie Kondō"/>
    <x v="0"/>
  </r>
  <r>
    <s v="The Litigators"/>
    <s v="John Grisham"/>
    <n v="4.4000000000000004"/>
    <n v="6222"/>
    <n v="18"/>
    <n v="2011"/>
    <s v="Fiction"/>
    <s v="The Litigators John Grisham"/>
    <x v="0"/>
  </r>
  <r>
    <s v="The Lost Hero (Heroes of Olympus, Book 1)"/>
    <s v="Rick Riordan"/>
    <n v="4.8"/>
    <n v="4506"/>
    <n v="14"/>
    <n v="2010"/>
    <s v="Fiction"/>
    <s v="The Lost Hero (Heroes of Olympus, Book 1) Rick Riordan"/>
    <x v="0"/>
  </r>
  <r>
    <s v="The Lost Symbol"/>
    <s v="Dan Brown"/>
    <n v="4.2"/>
    <n v="8747"/>
    <n v="19"/>
    <n v="2009"/>
    <s v="Fiction"/>
    <s v="The Lost Symbol Dan Brown"/>
    <x v="0"/>
  </r>
  <r>
    <s v="The Love Dare"/>
    <s v="Stephen Kendrick"/>
    <n v="4.8"/>
    <n v="1655"/>
    <n v="13"/>
    <n v="2009"/>
    <s v="Non Fiction"/>
    <s v="The Love Dare Stephen Kendrick"/>
    <x v="0"/>
  </r>
  <r>
    <s v="The Magnolia Story"/>
    <s v="Chip Gaines"/>
    <n v="4.9000000000000004"/>
    <n v="7861"/>
    <n v="5"/>
    <n v="2016"/>
    <s v="Non Fiction"/>
    <s v="The Magnolia Story Chip Gaines"/>
    <x v="0"/>
  </r>
  <r>
    <s v="The Mark of Athena (Heroes of Olympus, Book 3)"/>
    <s v="Rick Riordan"/>
    <n v="4.8"/>
    <n v="6247"/>
    <n v="10"/>
    <n v="2012"/>
    <s v="Fiction"/>
    <s v="The Mark of Athena (Heroes of Olympus, Book 3) Rick Riordan"/>
    <x v="0"/>
  </r>
  <r>
    <s v="The Martian"/>
    <s v="Andy Weir"/>
    <n v="4.7"/>
    <n v="39459"/>
    <n v="9"/>
    <n v="2015"/>
    <s v="Fiction"/>
    <s v="The Martian Andy Weir"/>
    <x v="0"/>
  </r>
  <r>
    <s v="The Maze Runner (Book 1)"/>
    <s v="James Dashner"/>
    <n v="4.5"/>
    <n v="10101"/>
    <n v="8"/>
    <n v="2014"/>
    <s v="Fiction"/>
    <s v="The Maze Runner (Book 1) James Dashner"/>
    <x v="0"/>
  </r>
  <r>
    <s v="The Meltdown (Diary of a Wimpy Kid Book 13)"/>
    <s v="Jeff Kinney"/>
    <n v="4.8"/>
    <n v="5898"/>
    <n v="8"/>
    <n v="2018"/>
    <s v="Fiction"/>
    <s v="The Meltdown (Diary of a Wimpy Kid Book 13) Jeff Kinney"/>
    <x v="0"/>
  </r>
  <r>
    <s v="The Mueller Report"/>
    <s v="The Washington Post"/>
    <n v="4.5999999999999996"/>
    <n v="2744"/>
    <n v="12"/>
    <n v="2019"/>
    <s v="Non Fiction"/>
    <s v="The Mueller Report The Washington Post"/>
    <x v="0"/>
  </r>
  <r>
    <s v="The Nightingale: A Novel"/>
    <s v="Kristin Hannah"/>
    <n v="4.8"/>
    <n v="49288"/>
    <n v="11"/>
    <n v="2015"/>
    <s v="Fiction"/>
    <s v="The Nightingale: A Novel Kristin Hannah"/>
    <x v="0"/>
  </r>
  <r>
    <s v="The Official SAT Study Guide"/>
    <s v="The College Board"/>
    <n v="4.4000000000000004"/>
    <n v="1201"/>
    <n v="40"/>
    <n v="2010"/>
    <s v="Non Fiction"/>
    <s v="The Official SAT Study Guide The College Board"/>
    <x v="2"/>
  </r>
  <r>
    <s v="The Official SAT Study Guide, 2016 Edition (Official Study Guide for the New Sat)"/>
    <s v="The College Board"/>
    <n v="4.3"/>
    <n v="807"/>
    <n v="36"/>
    <n v="2016"/>
    <s v="Non Fiction"/>
    <s v="The Official SAT Study Guide, 2016 Edition (Official Study Guide for the New Sat) The College Board"/>
    <x v="2"/>
  </r>
  <r>
    <s v="The Paris Wife: A Novel"/>
    <s v="Paula McLain"/>
    <n v="4.3"/>
    <n v="3759"/>
    <n v="16"/>
    <n v="2011"/>
    <s v="Fiction"/>
    <s v="The Paris Wife: A Novel Paula McLain"/>
    <x v="0"/>
  </r>
  <r>
    <s v="The Pioneer Woman Cooks: A Year of Holidays: 140 Step-by-Step Recipes for Simple, Scrumptious Celebrations"/>
    <s v="Ree Drummond"/>
    <n v="4.8"/>
    <n v="2663"/>
    <n v="17"/>
    <n v="2013"/>
    <s v="Non Fiction"/>
    <s v="The Pioneer Woman Cooks: A Year of Holidays: 140 Step-by-Step Recipes for Simple, Scrumptious Celebrations Ree Drummond"/>
    <x v="0"/>
  </r>
  <r>
    <s v="The Pioneer Woman Cooks: Dinnertime - Comfort Classics, Freezer Food, 16-minute Meals, and Other Delicious Ways to Solve…"/>
    <s v="Ree Drummond"/>
    <n v="4.8"/>
    <n v="3428"/>
    <n v="14"/>
    <n v="2015"/>
    <s v="Non Fiction"/>
    <s v="The Pioneer Woman Cooks: Dinnertime - Comfort Classics, Freezer Food, 16-minute Meals, and Other Delicious Ways to Solve… Ree Drummond"/>
    <x v="0"/>
  </r>
  <r>
    <s v="The Pioneer Woman Cooks: Food from My Frontier"/>
    <s v="Ree Drummond"/>
    <n v="4.8"/>
    <n v="2876"/>
    <n v="21"/>
    <n v="2012"/>
    <s v="Non Fiction"/>
    <s v="The Pioneer Woman Cooks: Food from My Frontier Ree Drummond"/>
    <x v="0"/>
  </r>
  <r>
    <s v="The Plant Paradox Cookbook: 100 Delicious Recipes to Help You Lose Weight, Heal Your Gut, and Live Lectin-Free"/>
    <s v="Dr. Steven R Gundry MD"/>
    <n v="4.5"/>
    <n v="3601"/>
    <n v="18"/>
    <n v="2018"/>
    <s v="Non Fiction"/>
    <s v="The Plant Paradox Cookbook: 100 Delicious Recipes to Help You Lose Weight, Heal Your Gut, and Live Lectin-Free Dr. Steven R Gundry MD"/>
    <x v="0"/>
  </r>
  <r>
    <s v="The Plant Paradox: The Hidden Dangers in &quot;Healthy&quot; Foods That Cause Disease and Weight Gain"/>
    <s v="Dr. Steven R Gundry MD"/>
    <n v="4.4000000000000004"/>
    <n v="7058"/>
    <n v="17"/>
    <n v="2018"/>
    <s v="Non Fiction"/>
    <s v="The Plant Paradox: The Hidden Dangers in &quot;Healthy&quot; Foods That Cause Disease and Weight Gain Dr. Steven R Gundry MD"/>
    <x v="0"/>
  </r>
  <r>
    <s v="The Pout-Pout Fish"/>
    <s v="Deborah Diesen"/>
    <n v="4.8"/>
    <n v="9784"/>
    <n v="5"/>
    <n v="2017"/>
    <s v="Fiction"/>
    <s v="The Pout-Pout Fish Deborah Diesen"/>
    <x v="0"/>
  </r>
  <r>
    <s v="The Power of Habit: Why We Do What We Do in Life and Business"/>
    <s v="Charles Duhigg"/>
    <n v="4.5999999999999996"/>
    <n v="10795"/>
    <n v="21"/>
    <n v="2012"/>
    <s v="Non Fiction"/>
    <s v="The Power of Habit: Why We Do What We Do in Life and Business Charles Duhigg"/>
    <x v="0"/>
  </r>
  <r>
    <s v="The President Is Missing: A Novel"/>
    <s v="James Patterson"/>
    <n v="4.3"/>
    <n v="10191"/>
    <n v="18"/>
    <n v="2018"/>
    <s v="Fiction"/>
    <s v="The President Is Missing: A Novel James Patterson"/>
    <x v="0"/>
  </r>
  <r>
    <s v="The Racketeer"/>
    <s v="John Grisham"/>
    <n v="4.3"/>
    <n v="14493"/>
    <n v="18"/>
    <n v="2012"/>
    <s v="Fiction"/>
    <s v="The Racketeer John Grisham"/>
    <x v="0"/>
  </r>
  <r>
    <s v="The Red Pyramid (The Kane Chronicles, Book 1)"/>
    <s v="Rick Riordan"/>
    <n v="4.5999999999999996"/>
    <n v="2186"/>
    <n v="12"/>
    <n v="2010"/>
    <s v="Fiction"/>
    <s v="The Red Pyramid (The Kane Chronicles, Book 1) Rick Riordan"/>
    <x v="0"/>
  </r>
  <r>
    <s v="The Road to Serfdom: Text and Documents--The Definitive Edition (The Collected Works of F. A. Hayek, Volume 2)"/>
    <s v="F. A. Hayek"/>
    <n v="4.5999999999999996"/>
    <n v="1204"/>
    <n v="14"/>
    <n v="2010"/>
    <s v="Non Fiction"/>
    <s v="The Road to Serfdom: Text and Documents--The Definitive Edition (The Collected Works of F. A. Hayek, Volume 2) F. A. Hayek"/>
    <x v="0"/>
  </r>
  <r>
    <s v="The Serpent's Shadow (The Kane Chronicles, Book 3)"/>
    <s v="Rick Riordan"/>
    <n v="4.8"/>
    <n v="2091"/>
    <n v="12"/>
    <n v="2012"/>
    <s v="Fiction"/>
    <s v="The Serpent's Shadow (The Kane Chronicles, Book 3) Rick Riordan"/>
    <x v="0"/>
  </r>
  <r>
    <s v="The Shack: Where Tragedy Confronts Eternity"/>
    <s v="William P. Young"/>
    <n v="4.5999999999999996"/>
    <n v="19720"/>
    <n v="8"/>
    <n v="2009"/>
    <s v="Fiction"/>
    <s v="The Shack: Where Tragedy Confronts Eternity William P. Young"/>
    <x v="0"/>
  </r>
  <r>
    <s v="The Short Second Life of Bree Tanner: An Eclipse Novella (The Twilight Saga)"/>
    <s v="Stephenie Meyer"/>
    <n v="4.5999999999999996"/>
    <n v="2122"/>
    <n v="0"/>
    <n v="2010"/>
    <s v="Fiction"/>
    <s v="The Short Second Life of Bree Tanner: An Eclipse Novella (The Twilight Saga) Stephenie Meyer"/>
    <x v="0"/>
  </r>
  <r>
    <s v="The Silent Patient"/>
    <s v="Alex Michaelides"/>
    <n v="4.5"/>
    <n v="27536"/>
    <n v="14"/>
    <n v="2019"/>
    <s v="Fiction"/>
    <s v="The Silent Patient Alex Michaelides"/>
    <x v="0"/>
  </r>
  <r>
    <s v="The Son of Neptune (Heroes of Olympus, Book 2)"/>
    <s v="Rick Riordan"/>
    <n v="4.8"/>
    <n v="4290"/>
    <n v="10"/>
    <n v="2011"/>
    <s v="Fiction"/>
    <s v="The Son of Neptune (Heroes of Olympus, Book 2) Rick Riordan"/>
    <x v="0"/>
  </r>
  <r>
    <s v="The Subtle Art of Not Giving a F*ck: A Counterintuitive Approach to Living a Good Life"/>
    <s v="Mark Manson"/>
    <n v="4.5999999999999996"/>
    <n v="26490"/>
    <n v="15"/>
    <n v="2017"/>
    <s v="Non Fiction"/>
    <s v="The Subtle Art of Not Giving a F*ck: A Counterintuitive Approach to Living a Good Life Mark Manson"/>
    <x v="0"/>
  </r>
  <r>
    <s v="The Sun and Her Flowers"/>
    <s v="Rupi Kaur"/>
    <n v="4.7"/>
    <n v="5487"/>
    <n v="9"/>
    <n v="2017"/>
    <s v="Non Fiction"/>
    <s v="The Sun and Her Flowers Rupi Kaur"/>
    <x v="0"/>
  </r>
  <r>
    <s v="The Third Wheel (Diary of a Wimpy Kid, Book 7)"/>
    <s v="Jeff Kinney"/>
    <n v="4.7"/>
    <n v="6377"/>
    <n v="7"/>
    <n v="2012"/>
    <s v="Fiction"/>
    <s v="The Third Wheel (Diary of a Wimpy Kid, Book 7) Jeff Kinney"/>
    <x v="0"/>
  </r>
  <r>
    <s v="The Throne of Fire (The Kane Chronicles, Book 2)"/>
    <s v="Rick Riordan"/>
    <n v="4.7"/>
    <n v="1463"/>
    <n v="10"/>
    <n v="2011"/>
    <s v="Fiction"/>
    <s v="The Throne of Fire (The Kane Chronicles, Book 2) Rick Riordan"/>
    <x v="0"/>
  </r>
  <r>
    <s v="The Time Traveler's Wife"/>
    <s v="Audrey Niffenegger"/>
    <n v="4.4000000000000004"/>
    <n v="3759"/>
    <n v="6"/>
    <n v="2009"/>
    <s v="Fiction"/>
    <s v="The Time Traveler's Wife Audrey Niffenegger"/>
    <x v="0"/>
  </r>
  <r>
    <s v="The Tipping Point: How Little Things Can Make a Big Difference"/>
    <s v="Malcolm Gladwell"/>
    <n v="4.4000000000000004"/>
    <n v="3503"/>
    <n v="9"/>
    <n v="2009"/>
    <s v="Non Fiction"/>
    <s v="The Tipping Point: How Little Things Can Make a Big Difference Malcolm Gladwell"/>
    <x v="0"/>
  </r>
  <r>
    <s v="The Total Money Makeover: Classic Edition: A Proven Plan for Financial Fitness"/>
    <s v="Dave Ramsey"/>
    <n v="4.7"/>
    <n v="11550"/>
    <n v="10"/>
    <n v="2019"/>
    <s v="Non Fiction"/>
    <s v="The Total Money Makeover: Classic Edition: A Proven Plan for Financial Fitness Dave Ramsey"/>
    <x v="0"/>
  </r>
  <r>
    <s v="The Twilight Saga Collection"/>
    <s v="Stephenie Meyer"/>
    <n v="4.7"/>
    <n v="3801"/>
    <n v="82"/>
    <n v="2009"/>
    <s v="Fiction"/>
    <s v="The Twilight Saga Collection Stephenie Meyer"/>
    <x v="1"/>
  </r>
  <r>
    <s v="The Ugly Truth (Diary of a Wimpy Kid, Book 5)"/>
    <s v="Jeff Kinney"/>
    <n v="4.8"/>
    <n v="3796"/>
    <n v="12"/>
    <n v="2010"/>
    <s v="Fiction"/>
    <s v="The Ugly Truth (Diary of a Wimpy Kid, Book 5) Jeff Kinney"/>
    <x v="0"/>
  </r>
  <r>
    <s v="The Unofficial Harry Potter Cookbook: From Cauldron Cakes to Knickerbocker Glory--More Than 150 Magical Recipes for…"/>
    <s v="Dinah Bucholz"/>
    <n v="4.7"/>
    <n v="9030"/>
    <n v="10"/>
    <n v="2019"/>
    <s v="Non Fiction"/>
    <s v="The Unofficial Harry Potter Cookbook: From Cauldron Cakes to Knickerbocker Glory--More Than 150 Magical Recipes for… Dinah Bucholz"/>
    <x v="0"/>
  </r>
  <r>
    <s v="The Very Hungry Caterpillar"/>
    <s v="Eric Carle"/>
    <n v="4.9000000000000004"/>
    <n v="19546"/>
    <n v="5"/>
    <n v="2013"/>
    <s v="Fiction"/>
    <s v="The Very Hungry Caterpillar Eric Carle"/>
    <x v="0"/>
  </r>
  <r>
    <s v="The Whole30: The 30-Day Guide to Total Health and Food Freedom"/>
    <s v="Melissa Hartwig Urban"/>
    <n v="4.5999999999999996"/>
    <n v="7508"/>
    <n v="16"/>
    <n v="2015"/>
    <s v="Non Fiction"/>
    <s v="The Whole30: The 30-Day Guide to Total Health and Food Freedom Melissa Hartwig Urban"/>
    <x v="0"/>
  </r>
  <r>
    <s v="The Wonderful Things You Will Be"/>
    <s v="Emily Winfield Martin"/>
    <n v="4.9000000000000004"/>
    <n v="8842"/>
    <n v="10"/>
    <n v="2016"/>
    <s v="Fiction"/>
    <s v="The Wonderful Things You Will Be Emily Winfield Martin"/>
    <x v="0"/>
  </r>
  <r>
    <s v="Promedio"/>
    <m/>
    <n v="4.6060897435897408"/>
    <m/>
    <n v="13.028846153846153"/>
    <m/>
    <m/>
    <m/>
    <x v="3"/>
  </r>
  <r>
    <s v="Desviación"/>
    <m/>
    <n v="0.23106796013835049"/>
    <m/>
    <n v="10.344814814216537"/>
    <m/>
    <m/>
    <m/>
    <x v="3"/>
  </r>
  <r>
    <s v="Min"/>
    <m/>
    <n v="3.3"/>
    <m/>
    <n v="0"/>
    <m/>
    <m/>
    <m/>
    <x v="3"/>
  </r>
  <r>
    <s v="Max"/>
    <m/>
    <n v="4.9000000000000004"/>
    <m/>
    <n v="105"/>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B7A13-0352-44A6-9C66-595CF2A2D5C8}" name="TablaDinámica3" cacheId="6"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 rowHeaderCaption="Rango de precios">
  <location ref="A3:B7" firstHeaderRow="1" firstDataRow="1" firstDataCol="1"/>
  <pivotFields count="9">
    <pivotField showAll="0"/>
    <pivotField showAll="0"/>
    <pivotField dataField="1" showAll="0"/>
    <pivotField showAll="0"/>
    <pivotField showAll="0"/>
    <pivotField showAll="0"/>
    <pivotField showAll="0"/>
    <pivotField showAll="0"/>
    <pivotField axis="axisRow" showAll="0">
      <items count="5">
        <item x="1"/>
        <item x="0"/>
        <item x="2"/>
        <item h="1" x="3"/>
        <item t="default"/>
      </items>
    </pivotField>
  </pivotFields>
  <rowFields count="1">
    <field x="8"/>
  </rowFields>
  <rowItems count="4">
    <i>
      <x/>
    </i>
    <i>
      <x v="1"/>
    </i>
    <i>
      <x v="2"/>
    </i>
    <i t="grand">
      <x/>
    </i>
  </rowItems>
  <colItems count="1">
    <i/>
  </colItems>
  <dataFields count="1">
    <dataField name="Promedio de User Rating" fld="2" subtotal="average" baseField="8" baseItem="0" numFmtId="2"/>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D0F0-C6A0-47A5-8A0A-EE68EB242CA7}">
  <dimension ref="A3:B7"/>
  <sheetViews>
    <sheetView tabSelected="1" workbookViewId="0">
      <selection activeCell="A4" sqref="A4"/>
    </sheetView>
  </sheetViews>
  <sheetFormatPr baseColWidth="10" defaultRowHeight="15" x14ac:dyDescent="0.25"/>
  <cols>
    <col min="1" max="1" width="18.42578125" bestFit="1" customWidth="1"/>
    <col min="2" max="2" width="23.140625" bestFit="1" customWidth="1"/>
  </cols>
  <sheetData>
    <row r="3" spans="1:2" x14ac:dyDescent="0.25">
      <c r="A3" s="8" t="s">
        <v>578</v>
      </c>
      <c r="B3" s="9" t="s">
        <v>577</v>
      </c>
    </row>
    <row r="4" spans="1:2" x14ac:dyDescent="0.25">
      <c r="A4" s="10" t="s">
        <v>573</v>
      </c>
      <c r="B4" s="13">
        <v>4.5999999999999996</v>
      </c>
    </row>
    <row r="5" spans="1:2" x14ac:dyDescent="0.25">
      <c r="A5" s="11" t="s">
        <v>574</v>
      </c>
      <c r="B5" s="14">
        <v>4.6059405940594038</v>
      </c>
    </row>
    <row r="6" spans="1:2" x14ac:dyDescent="0.25">
      <c r="A6" s="11" t="s">
        <v>575</v>
      </c>
      <c r="B6" s="14">
        <v>4.6142857142857139</v>
      </c>
    </row>
    <row r="7" spans="1:2" x14ac:dyDescent="0.25">
      <c r="A7" s="12" t="s">
        <v>576</v>
      </c>
      <c r="B7" s="15">
        <v>4.6060897435897408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8"/>
  <sheetViews>
    <sheetView topLeftCell="A2" workbookViewId="0">
      <selection activeCell="I3" sqref="I3"/>
    </sheetView>
  </sheetViews>
  <sheetFormatPr baseColWidth="10" defaultColWidth="9.140625" defaultRowHeight="15" x14ac:dyDescent="0.25"/>
  <cols>
    <col min="3" max="3" width="11.85546875" bestFit="1" customWidth="1"/>
  </cols>
  <sheetData>
    <row r="1" spans="1:9" x14ac:dyDescent="0.25">
      <c r="C1" t="s">
        <v>542</v>
      </c>
      <c r="E1" t="s">
        <v>541</v>
      </c>
    </row>
    <row r="2" spans="1:9" s="2" customFormat="1" x14ac:dyDescent="0.25">
      <c r="A2" s="2" t="s">
        <v>0</v>
      </c>
      <c r="B2" s="2" t="s">
        <v>1</v>
      </c>
      <c r="C2" s="2" t="s">
        <v>2</v>
      </c>
      <c r="D2" s="2" t="s">
        <v>3</v>
      </c>
      <c r="E2" s="2" t="s">
        <v>4</v>
      </c>
      <c r="F2" s="2" t="s">
        <v>5</v>
      </c>
      <c r="G2" s="2" t="s">
        <v>6</v>
      </c>
      <c r="H2" s="2" t="s">
        <v>540</v>
      </c>
      <c r="I2" s="2" t="s">
        <v>572</v>
      </c>
    </row>
    <row r="3" spans="1:9" x14ac:dyDescent="0.25">
      <c r="A3" t="s">
        <v>7</v>
      </c>
      <c r="B3" t="s">
        <v>8</v>
      </c>
      <c r="C3">
        <v>4.7</v>
      </c>
      <c r="D3">
        <v>17350</v>
      </c>
      <c r="E3">
        <v>8</v>
      </c>
      <c r="F3">
        <v>2016</v>
      </c>
      <c r="G3" t="s">
        <v>9</v>
      </c>
      <c r="H3" t="str">
        <f>+CONCATENATE(A3," ",B3)</f>
        <v>10-Day Green Smoothie Cleanse JJ Smith</v>
      </c>
      <c r="I3" t="str">
        <f>+IF(E3&lt;=35,"Bajo",IF(E3&lt;=70,"Medio","Alto"))</f>
        <v>Bajo</v>
      </c>
    </row>
    <row r="4" spans="1:9" x14ac:dyDescent="0.25">
      <c r="A4" t="s">
        <v>10</v>
      </c>
      <c r="B4" t="s">
        <v>11</v>
      </c>
      <c r="C4">
        <v>4.5999999999999996</v>
      </c>
      <c r="D4">
        <v>2052</v>
      </c>
      <c r="E4">
        <v>22</v>
      </c>
      <c r="F4">
        <v>2011</v>
      </c>
      <c r="G4" t="s">
        <v>12</v>
      </c>
      <c r="H4" t="str">
        <f>+CONCATENATE(A4," ",B4)</f>
        <v>11/22/63: A Novel Stephen King</v>
      </c>
      <c r="I4" t="str">
        <f t="shared" ref="I4:I67" si="0">+IF(E4&lt;=35,"Bajo",IF(E4&lt;=70,"Medio","Alto"))</f>
        <v>Bajo</v>
      </c>
    </row>
    <row r="5" spans="1:9" x14ac:dyDescent="0.25">
      <c r="A5" t="s">
        <v>13</v>
      </c>
      <c r="B5" t="s">
        <v>14</v>
      </c>
      <c r="C5">
        <v>4.7</v>
      </c>
      <c r="D5">
        <v>18979</v>
      </c>
      <c r="E5">
        <v>15</v>
      </c>
      <c r="F5">
        <v>2018</v>
      </c>
      <c r="G5" t="s">
        <v>9</v>
      </c>
      <c r="H5" t="str">
        <f>+CONCATENATE(A5," ",B5)</f>
        <v>12 Rules for Life: An Antidote to Chaos Jordan B. Peterson</v>
      </c>
      <c r="I5" t="str">
        <f t="shared" si="0"/>
        <v>Bajo</v>
      </c>
    </row>
    <row r="6" spans="1:9" x14ac:dyDescent="0.25">
      <c r="A6" t="s">
        <v>15</v>
      </c>
      <c r="B6" t="s">
        <v>16</v>
      </c>
      <c r="C6">
        <v>4.7</v>
      </c>
      <c r="D6">
        <v>21424</v>
      </c>
      <c r="E6">
        <v>6</v>
      </c>
      <c r="F6">
        <v>2017</v>
      </c>
      <c r="G6" t="s">
        <v>12</v>
      </c>
      <c r="H6" t="str">
        <f>+CONCATENATE(A6," ",B6)</f>
        <v>1984 (Signet Classics) George Orwell</v>
      </c>
      <c r="I6" t="str">
        <f t="shared" si="0"/>
        <v>Bajo</v>
      </c>
    </row>
    <row r="7" spans="1:9" x14ac:dyDescent="0.25">
      <c r="A7" t="s">
        <v>17</v>
      </c>
      <c r="B7" t="s">
        <v>18</v>
      </c>
      <c r="C7">
        <v>4.8</v>
      </c>
      <c r="D7">
        <v>7665</v>
      </c>
      <c r="E7">
        <v>12</v>
      </c>
      <c r="F7">
        <v>2019</v>
      </c>
      <c r="G7" t="s">
        <v>9</v>
      </c>
      <c r="H7" t="str">
        <f>+CONCATENATE(A7," ",B7)</f>
        <v>5,000 Awesome Facts (About Everything!) (National Geographic Kids) National Geographic Kids</v>
      </c>
      <c r="I7" t="str">
        <f t="shared" si="0"/>
        <v>Bajo</v>
      </c>
    </row>
    <row r="8" spans="1:9" x14ac:dyDescent="0.25">
      <c r="A8" t="s">
        <v>19</v>
      </c>
      <c r="B8" t="s">
        <v>20</v>
      </c>
      <c r="C8">
        <v>4.4000000000000004</v>
      </c>
      <c r="D8">
        <v>12643</v>
      </c>
      <c r="E8">
        <v>11</v>
      </c>
      <c r="F8">
        <v>2011</v>
      </c>
      <c r="G8" t="s">
        <v>12</v>
      </c>
      <c r="H8" t="str">
        <f>+CONCATENATE(A8," ",B8)</f>
        <v>A Dance with Dragons (A Song of Ice and Fire) George R. R. Martin</v>
      </c>
      <c r="I8" t="str">
        <f t="shared" si="0"/>
        <v>Bajo</v>
      </c>
    </row>
    <row r="9" spans="1:9" x14ac:dyDescent="0.25">
      <c r="A9" t="s">
        <v>21</v>
      </c>
      <c r="B9" t="s">
        <v>20</v>
      </c>
      <c r="C9">
        <v>4.7</v>
      </c>
      <c r="D9">
        <v>19735</v>
      </c>
      <c r="E9">
        <v>30</v>
      </c>
      <c r="F9">
        <v>2014</v>
      </c>
      <c r="G9" t="s">
        <v>12</v>
      </c>
      <c r="H9" t="str">
        <f>+CONCATENATE(A9," ",B9)</f>
        <v>A Game of Thrones / A Clash of Kings / A Storm of Swords / A Feast of Crows / A Dance with Dragons George R. R. Martin</v>
      </c>
      <c r="I9" t="str">
        <f t="shared" si="0"/>
        <v>Bajo</v>
      </c>
    </row>
    <row r="10" spans="1:9" x14ac:dyDescent="0.25">
      <c r="A10" t="s">
        <v>22</v>
      </c>
      <c r="B10" t="s">
        <v>23</v>
      </c>
      <c r="C10">
        <v>4.7</v>
      </c>
      <c r="D10">
        <v>19699</v>
      </c>
      <c r="E10">
        <v>15</v>
      </c>
      <c r="F10">
        <v>2017</v>
      </c>
      <c r="G10" t="s">
        <v>12</v>
      </c>
      <c r="H10" t="str">
        <f>+CONCATENATE(A10," ",B10)</f>
        <v>A Gentleman in Moscow: A Novel Amor Towles</v>
      </c>
      <c r="I10" t="str">
        <f t="shared" si="0"/>
        <v>Bajo</v>
      </c>
    </row>
    <row r="11" spans="1:9" x14ac:dyDescent="0.25">
      <c r="A11" t="s">
        <v>24</v>
      </c>
      <c r="B11" t="s">
        <v>25</v>
      </c>
      <c r="C11">
        <v>4.7</v>
      </c>
      <c r="D11">
        <v>5983</v>
      </c>
      <c r="E11">
        <v>3</v>
      </c>
      <c r="F11">
        <v>2018</v>
      </c>
      <c r="G11" t="s">
        <v>9</v>
      </c>
      <c r="H11" t="str">
        <f>+CONCATENATE(A11," ",B11)</f>
        <v>A Higher Loyalty: Truth, Lies, and Leadership James Comey</v>
      </c>
      <c r="I11" t="str">
        <f t="shared" si="0"/>
        <v>Bajo</v>
      </c>
    </row>
    <row r="12" spans="1:9" x14ac:dyDescent="0.25">
      <c r="A12" t="s">
        <v>26</v>
      </c>
      <c r="B12" t="s">
        <v>27</v>
      </c>
      <c r="C12">
        <v>4.5999999999999996</v>
      </c>
      <c r="D12">
        <v>23848</v>
      </c>
      <c r="E12">
        <v>8</v>
      </c>
      <c r="F12">
        <v>2016</v>
      </c>
      <c r="G12" t="s">
        <v>12</v>
      </c>
      <c r="H12" t="str">
        <f>+CONCATENATE(A12," ",B12)</f>
        <v>A Man Called Ove: A Novel Fredrik Backman</v>
      </c>
      <c r="I12" t="str">
        <f t="shared" si="0"/>
        <v>Bajo</v>
      </c>
    </row>
    <row r="13" spans="1:9" x14ac:dyDescent="0.25">
      <c r="A13" t="s">
        <v>28</v>
      </c>
      <c r="B13" t="s">
        <v>29</v>
      </c>
      <c r="C13">
        <v>4.5999999999999996</v>
      </c>
      <c r="D13">
        <v>460</v>
      </c>
      <c r="E13">
        <v>2</v>
      </c>
      <c r="F13">
        <v>2010</v>
      </c>
      <c r="G13" t="s">
        <v>9</v>
      </c>
      <c r="H13" t="str">
        <f>+CONCATENATE(A13," ",B13)</f>
        <v>A Patriot's History of the United States: From Columbus's Great Discovery to the War on Terror Larry Schweikart</v>
      </c>
      <c r="I13" t="str">
        <f t="shared" si="0"/>
        <v>Bajo</v>
      </c>
    </row>
    <row r="14" spans="1:9" x14ac:dyDescent="0.25">
      <c r="A14" t="s">
        <v>30</v>
      </c>
      <c r="B14" t="s">
        <v>31</v>
      </c>
      <c r="C14">
        <v>4.5999999999999996</v>
      </c>
      <c r="D14">
        <v>4149</v>
      </c>
      <c r="E14">
        <v>32</v>
      </c>
      <c r="F14">
        <v>2011</v>
      </c>
      <c r="G14" t="s">
        <v>9</v>
      </c>
      <c r="H14" t="str">
        <f>+CONCATENATE(A14," ",B14)</f>
        <v>A Stolen Life: A Memoir Jaycee Dugard</v>
      </c>
      <c r="I14" t="str">
        <f t="shared" si="0"/>
        <v>Bajo</v>
      </c>
    </row>
    <row r="15" spans="1:9" x14ac:dyDescent="0.25">
      <c r="A15" t="s">
        <v>32</v>
      </c>
      <c r="B15" t="s">
        <v>33</v>
      </c>
      <c r="C15">
        <v>4.5</v>
      </c>
      <c r="D15">
        <v>5153</v>
      </c>
      <c r="E15">
        <v>5</v>
      </c>
      <c r="F15">
        <v>2018</v>
      </c>
      <c r="G15" t="s">
        <v>12</v>
      </c>
      <c r="H15" t="str">
        <f>+CONCATENATE(A15," ",B15)</f>
        <v>A Wrinkle in Time (Time Quintet) Madeleine L'Engle</v>
      </c>
      <c r="I15" t="str">
        <f t="shared" si="0"/>
        <v>Bajo</v>
      </c>
    </row>
    <row r="16" spans="1:9" x14ac:dyDescent="0.25">
      <c r="A16" t="s">
        <v>34</v>
      </c>
      <c r="B16" t="s">
        <v>35</v>
      </c>
      <c r="C16">
        <v>4.5999999999999996</v>
      </c>
      <c r="D16">
        <v>5013</v>
      </c>
      <c r="E16">
        <v>17</v>
      </c>
      <c r="F16">
        <v>2009</v>
      </c>
      <c r="G16" t="s">
        <v>9</v>
      </c>
      <c r="H16" t="str">
        <f>+CONCATENATE(A16," ",B16)</f>
        <v>Act Like a Lady, Think Like a Man: What Men Really Think About Love, Relationships, Intimacy, and Commitment Steve Harvey</v>
      </c>
      <c r="I16" t="str">
        <f t="shared" si="0"/>
        <v>Bajo</v>
      </c>
    </row>
    <row r="17" spans="1:9" x14ac:dyDescent="0.25">
      <c r="A17" t="s">
        <v>36</v>
      </c>
      <c r="B17" t="s">
        <v>37</v>
      </c>
      <c r="C17">
        <v>4.5</v>
      </c>
      <c r="D17">
        <v>2313</v>
      </c>
      <c r="E17">
        <v>4</v>
      </c>
      <c r="F17">
        <v>2016</v>
      </c>
      <c r="G17" t="s">
        <v>9</v>
      </c>
      <c r="H17" t="str">
        <f>+CONCATENATE(A17," ",B17)</f>
        <v>Adult Coloring Book Designs: Stress Relief Coloring Book: Garden Designs, Mandalas, Animals, and Paisley Patterns Adult Coloring Book Designs</v>
      </c>
      <c r="I17" t="str">
        <f t="shared" si="0"/>
        <v>Bajo</v>
      </c>
    </row>
    <row r="18" spans="1:9" x14ac:dyDescent="0.25">
      <c r="A18" t="s">
        <v>38</v>
      </c>
      <c r="B18" t="s">
        <v>39</v>
      </c>
      <c r="C18">
        <v>4.5999999999999996</v>
      </c>
      <c r="D18">
        <v>2925</v>
      </c>
      <c r="E18">
        <v>6</v>
      </c>
      <c r="F18">
        <v>2015</v>
      </c>
      <c r="G18" t="s">
        <v>9</v>
      </c>
      <c r="H18" t="str">
        <f>+CONCATENATE(A18," ",B18)</f>
        <v>Adult Coloring Book: Stress Relieving Animal Designs Blue Star Coloring</v>
      </c>
      <c r="I18" t="str">
        <f t="shared" si="0"/>
        <v>Bajo</v>
      </c>
    </row>
    <row r="19" spans="1:9" x14ac:dyDescent="0.25">
      <c r="A19" t="s">
        <v>40</v>
      </c>
      <c r="B19" t="s">
        <v>39</v>
      </c>
      <c r="C19">
        <v>4.4000000000000004</v>
      </c>
      <c r="D19">
        <v>2951</v>
      </c>
      <c r="E19">
        <v>6</v>
      </c>
      <c r="F19">
        <v>2015</v>
      </c>
      <c r="G19" t="s">
        <v>9</v>
      </c>
      <c r="H19" t="str">
        <f>+CONCATENATE(A19," ",B19)</f>
        <v>Adult Coloring Book: Stress Relieving Patterns Blue Star Coloring</v>
      </c>
      <c r="I19" t="str">
        <f t="shared" si="0"/>
        <v>Bajo</v>
      </c>
    </row>
    <row r="20" spans="1:9" x14ac:dyDescent="0.25">
      <c r="A20" t="s">
        <v>41</v>
      </c>
      <c r="B20" t="s">
        <v>42</v>
      </c>
      <c r="C20">
        <v>4.5</v>
      </c>
      <c r="D20">
        <v>2426</v>
      </c>
      <c r="E20">
        <v>8</v>
      </c>
      <c r="F20">
        <v>2015</v>
      </c>
      <c r="G20" t="s">
        <v>9</v>
      </c>
      <c r="H20" t="str">
        <f>+CONCATENATE(A20," ",B20)</f>
        <v>Adult Coloring Books: A Coloring Book for Adults Featuring Mandalas and Henna Inspired Flowers, Animals, and Paisley… Coloring Books for Adults</v>
      </c>
      <c r="I20" t="str">
        <f t="shared" si="0"/>
        <v>Bajo</v>
      </c>
    </row>
    <row r="21" spans="1:9" x14ac:dyDescent="0.25">
      <c r="A21" t="s">
        <v>43</v>
      </c>
      <c r="B21" t="s">
        <v>44</v>
      </c>
      <c r="C21">
        <v>4.8</v>
      </c>
      <c r="D21">
        <v>9198</v>
      </c>
      <c r="E21">
        <v>13</v>
      </c>
      <c r="F21">
        <v>2016</v>
      </c>
      <c r="G21" t="s">
        <v>9</v>
      </c>
      <c r="H21" t="str">
        <f>+CONCATENATE(A21," ",B21)</f>
        <v>Alexander Hamilton Ron Chernow</v>
      </c>
      <c r="I21" t="str">
        <f t="shared" si="0"/>
        <v>Bajo</v>
      </c>
    </row>
    <row r="22" spans="1:9" x14ac:dyDescent="0.25">
      <c r="A22" t="s">
        <v>45</v>
      </c>
      <c r="B22" t="s">
        <v>46</v>
      </c>
      <c r="C22">
        <v>4.5999999999999996</v>
      </c>
      <c r="D22">
        <v>36348</v>
      </c>
      <c r="E22">
        <v>14</v>
      </c>
      <c r="F22">
        <v>2014</v>
      </c>
      <c r="G22" t="s">
        <v>12</v>
      </c>
      <c r="H22" t="str">
        <f>+CONCATENATE(A22," ",B22)</f>
        <v>All the Light We Cannot See Anthony Doerr</v>
      </c>
      <c r="I22" t="str">
        <f t="shared" si="0"/>
        <v>Bajo</v>
      </c>
    </row>
    <row r="23" spans="1:9" x14ac:dyDescent="0.25">
      <c r="A23" t="s">
        <v>47</v>
      </c>
      <c r="B23" t="s">
        <v>48</v>
      </c>
      <c r="C23">
        <v>3.9</v>
      </c>
      <c r="D23">
        <v>6310</v>
      </c>
      <c r="E23">
        <v>13</v>
      </c>
      <c r="F23">
        <v>2013</v>
      </c>
      <c r="G23" t="s">
        <v>12</v>
      </c>
      <c r="H23" t="str">
        <f>+CONCATENATE(A23," ",B23)</f>
        <v>Allegiant Veronica Roth</v>
      </c>
      <c r="I23" t="str">
        <f t="shared" si="0"/>
        <v>Bajo</v>
      </c>
    </row>
    <row r="24" spans="1:9" x14ac:dyDescent="0.25">
      <c r="A24" t="s">
        <v>49</v>
      </c>
      <c r="B24" t="s">
        <v>50</v>
      </c>
      <c r="C24">
        <v>4.5999999999999996</v>
      </c>
      <c r="D24">
        <v>15921</v>
      </c>
      <c r="E24">
        <v>9</v>
      </c>
      <c r="F24">
        <v>2015</v>
      </c>
      <c r="G24" t="s">
        <v>9</v>
      </c>
      <c r="H24" t="str">
        <f>+CONCATENATE(A24," ",B24)</f>
        <v>American Sniper: The Autobiography of the Most Lethal Sniper in U.S. Military History Chris Kyle</v>
      </c>
      <c r="I24" t="str">
        <f t="shared" si="0"/>
        <v>Bajo</v>
      </c>
    </row>
    <row r="25" spans="1:9" x14ac:dyDescent="0.25">
      <c r="A25" t="s">
        <v>51</v>
      </c>
      <c r="B25" t="s">
        <v>52</v>
      </c>
      <c r="C25">
        <v>4.3</v>
      </c>
      <c r="D25">
        <v>12159</v>
      </c>
      <c r="E25">
        <v>13</v>
      </c>
      <c r="F25">
        <v>2013</v>
      </c>
      <c r="G25" t="s">
        <v>12</v>
      </c>
      <c r="H25" t="str">
        <f>+CONCATENATE(A25," ",B25)</f>
        <v>And the Mountains Echoed Khaled Hosseini</v>
      </c>
      <c r="I25" t="str">
        <f t="shared" si="0"/>
        <v>Bajo</v>
      </c>
    </row>
    <row r="26" spans="1:9" x14ac:dyDescent="0.25">
      <c r="A26" t="s">
        <v>53</v>
      </c>
      <c r="B26" t="s">
        <v>54</v>
      </c>
      <c r="C26">
        <v>4.5999999999999996</v>
      </c>
      <c r="D26">
        <v>798</v>
      </c>
      <c r="E26">
        <v>5</v>
      </c>
      <c r="F26">
        <v>2009</v>
      </c>
      <c r="G26" t="s">
        <v>9</v>
      </c>
      <c r="H26" t="str">
        <f>+CONCATENATE(A26," ",B26)</f>
        <v>Arguing with Idiots: How to Stop Small Minds and Big Government Glenn Beck</v>
      </c>
      <c r="I26" t="str">
        <f t="shared" si="0"/>
        <v>Bajo</v>
      </c>
    </row>
    <row r="27" spans="1:9" x14ac:dyDescent="0.25">
      <c r="A27" t="s">
        <v>55</v>
      </c>
      <c r="B27" t="s">
        <v>56</v>
      </c>
      <c r="C27">
        <v>4.7</v>
      </c>
      <c r="D27">
        <v>9374</v>
      </c>
      <c r="E27">
        <v>9</v>
      </c>
      <c r="F27">
        <v>2017</v>
      </c>
      <c r="G27" t="s">
        <v>9</v>
      </c>
      <c r="H27" t="str">
        <f>+CONCATENATE(A27," ",B27)</f>
        <v>Astrophysics for People in a Hurry Neil deGrasse Tyson</v>
      </c>
      <c r="I27" t="str">
        <f t="shared" si="0"/>
        <v>Bajo</v>
      </c>
    </row>
    <row r="28" spans="1:9" x14ac:dyDescent="0.25">
      <c r="A28" t="s">
        <v>57</v>
      </c>
      <c r="B28" t="s">
        <v>58</v>
      </c>
      <c r="C28">
        <v>4.2</v>
      </c>
      <c r="D28">
        <v>491</v>
      </c>
      <c r="E28">
        <v>14</v>
      </c>
      <c r="F28">
        <v>2010</v>
      </c>
      <c r="G28" t="s">
        <v>9</v>
      </c>
      <c r="H28" t="str">
        <f>+CONCATENATE(A28," ",B28)</f>
        <v>Autobiography of Mark Twain, Vol. 1 Mark Twain</v>
      </c>
      <c r="I28" t="str">
        <f t="shared" si="0"/>
        <v>Bajo</v>
      </c>
    </row>
    <row r="29" spans="1:9" x14ac:dyDescent="0.25">
      <c r="A29" t="s">
        <v>59</v>
      </c>
      <c r="B29" t="s">
        <v>60</v>
      </c>
      <c r="C29">
        <v>4.5999999999999996</v>
      </c>
      <c r="D29">
        <v>5360</v>
      </c>
      <c r="E29">
        <v>5</v>
      </c>
      <c r="F29">
        <v>2015</v>
      </c>
      <c r="G29" t="s">
        <v>9</v>
      </c>
      <c r="H29" t="str">
        <f>+CONCATENATE(A29," ",B29)</f>
        <v>Baby Touch and Feel: Animals DK</v>
      </c>
      <c r="I29" t="str">
        <f t="shared" si="0"/>
        <v>Bajo</v>
      </c>
    </row>
    <row r="30" spans="1:9" x14ac:dyDescent="0.25">
      <c r="A30" t="s">
        <v>61</v>
      </c>
      <c r="B30" t="s">
        <v>62</v>
      </c>
      <c r="C30">
        <v>4.5999999999999996</v>
      </c>
      <c r="D30">
        <v>1909</v>
      </c>
      <c r="E30">
        <v>11</v>
      </c>
      <c r="F30">
        <v>2015</v>
      </c>
      <c r="G30" t="s">
        <v>9</v>
      </c>
      <c r="H30" t="str">
        <f>+CONCATENATE(A30," ",B30)</f>
        <v>Balance (Angie's Extreme Stress Menders) Angie Grace</v>
      </c>
      <c r="I30" t="str">
        <f t="shared" si="0"/>
        <v>Bajo</v>
      </c>
    </row>
    <row r="31" spans="1:9" x14ac:dyDescent="0.25">
      <c r="A31" t="s">
        <v>63</v>
      </c>
      <c r="B31" t="s">
        <v>64</v>
      </c>
      <c r="C31">
        <v>4.8</v>
      </c>
      <c r="D31">
        <v>1296</v>
      </c>
      <c r="E31">
        <v>24</v>
      </c>
      <c r="F31">
        <v>2012</v>
      </c>
      <c r="G31" t="s">
        <v>9</v>
      </c>
      <c r="H31" t="str">
        <f>+CONCATENATE(A31," ",B31)</f>
        <v>Barefoot Contessa Foolproof: Recipes You Can Trust: A Cookbook Ina Garten</v>
      </c>
      <c r="I31" t="str">
        <f t="shared" si="0"/>
        <v>Bajo</v>
      </c>
    </row>
    <row r="32" spans="1:9" x14ac:dyDescent="0.25">
      <c r="A32" t="s">
        <v>65</v>
      </c>
      <c r="B32" t="s">
        <v>64</v>
      </c>
      <c r="C32">
        <v>4.7</v>
      </c>
      <c r="D32">
        <v>615</v>
      </c>
      <c r="E32">
        <v>21</v>
      </c>
      <c r="F32">
        <v>2010</v>
      </c>
      <c r="G32" t="s">
        <v>9</v>
      </c>
      <c r="H32" t="str">
        <f>+CONCATENATE(A32," ",B32)</f>
        <v>Barefoot Contessa, How Easy Is That?: Fabulous Recipes &amp; Easy Tips Ina Garten</v>
      </c>
      <c r="I32" t="str">
        <f t="shared" si="0"/>
        <v>Bajo</v>
      </c>
    </row>
    <row r="33" spans="1:9" x14ac:dyDescent="0.25">
      <c r="A33" t="s">
        <v>66</v>
      </c>
      <c r="B33" t="s">
        <v>67</v>
      </c>
      <c r="C33">
        <v>4.8</v>
      </c>
      <c r="D33">
        <v>61133</v>
      </c>
      <c r="E33">
        <v>11</v>
      </c>
      <c r="F33">
        <v>2018</v>
      </c>
      <c r="G33" t="s">
        <v>9</v>
      </c>
      <c r="H33" t="str">
        <f>+CONCATENATE(A33," ",B33)</f>
        <v>Becoming Michelle Obama</v>
      </c>
      <c r="I33" t="str">
        <f t="shared" si="0"/>
        <v>Bajo</v>
      </c>
    </row>
    <row r="34" spans="1:9" x14ac:dyDescent="0.25">
      <c r="A34" t="s">
        <v>68</v>
      </c>
      <c r="B34" t="s">
        <v>69</v>
      </c>
      <c r="C34">
        <v>4.8</v>
      </c>
      <c r="D34">
        <v>11113</v>
      </c>
      <c r="E34">
        <v>15</v>
      </c>
      <c r="F34">
        <v>2015</v>
      </c>
      <c r="G34" t="s">
        <v>9</v>
      </c>
      <c r="H34" t="str">
        <f>+CONCATENATE(A34," ",B34)</f>
        <v>Being Mortal: Medicine and What Matters in the End Atul Gawande</v>
      </c>
      <c r="I34" t="str">
        <f t="shared" si="0"/>
        <v>Bajo</v>
      </c>
    </row>
    <row r="35" spans="1:9" x14ac:dyDescent="0.25">
      <c r="A35" t="s">
        <v>70</v>
      </c>
      <c r="B35" t="s">
        <v>71</v>
      </c>
      <c r="C35">
        <v>4.7</v>
      </c>
      <c r="D35">
        <v>10070</v>
      </c>
      <c r="E35">
        <v>13</v>
      </c>
      <c r="F35">
        <v>2015</v>
      </c>
      <c r="G35" t="s">
        <v>9</v>
      </c>
      <c r="H35" t="str">
        <f>+CONCATENATE(A35," ",B35)</f>
        <v>Between the World and Me Ta-Nehisi Coates</v>
      </c>
      <c r="I35" t="str">
        <f t="shared" si="0"/>
        <v>Bajo</v>
      </c>
    </row>
    <row r="36" spans="1:9" x14ac:dyDescent="0.25">
      <c r="A36" t="s">
        <v>72</v>
      </c>
      <c r="B36" t="s">
        <v>73</v>
      </c>
      <c r="C36">
        <v>4.7</v>
      </c>
      <c r="D36">
        <v>3729</v>
      </c>
      <c r="E36">
        <v>18</v>
      </c>
      <c r="F36">
        <v>2016</v>
      </c>
      <c r="G36" t="s">
        <v>9</v>
      </c>
      <c r="H36" t="str">
        <f>+CONCATENATE(A36," ",B36)</f>
        <v>Born to Run Bruce Springsteen</v>
      </c>
      <c r="I36" t="str">
        <f t="shared" si="0"/>
        <v>Bajo</v>
      </c>
    </row>
    <row r="37" spans="1:9" x14ac:dyDescent="0.25">
      <c r="A37" t="s">
        <v>74</v>
      </c>
      <c r="B37" t="s">
        <v>75</v>
      </c>
      <c r="C37">
        <v>4.5999999999999996</v>
      </c>
      <c r="D37">
        <v>9769</v>
      </c>
      <c r="E37">
        <v>13</v>
      </c>
      <c r="F37">
        <v>2009</v>
      </c>
      <c r="G37" t="s">
        <v>12</v>
      </c>
      <c r="H37" t="str">
        <f>+CONCATENATE(A37," ",B37)</f>
        <v>Breaking Dawn (The Twilight Saga, Book 4) Stephenie Meyer</v>
      </c>
      <c r="I37" t="str">
        <f t="shared" si="0"/>
        <v>Bajo</v>
      </c>
    </row>
    <row r="38" spans="1:9" x14ac:dyDescent="0.25">
      <c r="A38" t="s">
        <v>76</v>
      </c>
      <c r="B38" t="s">
        <v>54</v>
      </c>
      <c r="C38">
        <v>4.5</v>
      </c>
      <c r="D38">
        <v>471</v>
      </c>
      <c r="E38">
        <v>8</v>
      </c>
      <c r="F38">
        <v>2010</v>
      </c>
      <c r="G38" t="s">
        <v>9</v>
      </c>
      <c r="H38" t="str">
        <f>+CONCATENATE(A38," ",B38)</f>
        <v>Broke: The Plan to Restore Our Trust, Truth and Treasure Glenn Beck</v>
      </c>
      <c r="I38" t="str">
        <f t="shared" si="0"/>
        <v>Bajo</v>
      </c>
    </row>
    <row r="39" spans="1:9" x14ac:dyDescent="0.25">
      <c r="A39" t="s">
        <v>77</v>
      </c>
      <c r="B39" t="s">
        <v>78</v>
      </c>
      <c r="C39">
        <v>4.9000000000000004</v>
      </c>
      <c r="D39">
        <v>14344</v>
      </c>
      <c r="E39">
        <v>5</v>
      </c>
      <c r="F39">
        <v>2017</v>
      </c>
      <c r="G39" t="s">
        <v>12</v>
      </c>
      <c r="H39" t="str">
        <f>+CONCATENATE(A39," ",B39)</f>
        <v>Brown Bear, Brown Bear, What Do You See? Bill Martin Jr.</v>
      </c>
      <c r="I39" t="str">
        <f t="shared" si="0"/>
        <v>Bajo</v>
      </c>
    </row>
    <row r="40" spans="1:9" x14ac:dyDescent="0.25">
      <c r="A40" t="s">
        <v>79</v>
      </c>
      <c r="B40" t="s">
        <v>80</v>
      </c>
      <c r="C40">
        <v>4.8</v>
      </c>
      <c r="D40">
        <v>4505</v>
      </c>
      <c r="E40">
        <v>0</v>
      </c>
      <c r="F40">
        <v>2011</v>
      </c>
      <c r="G40" t="s">
        <v>12</v>
      </c>
      <c r="H40" t="str">
        <f>+CONCATENATE(A40," ",B40)</f>
        <v>Cabin Fever (Diary of a Wimpy Kid, Book 6) Jeff Kinney</v>
      </c>
      <c r="I40" t="str">
        <f t="shared" si="0"/>
        <v>Bajo</v>
      </c>
    </row>
    <row r="41" spans="1:9" x14ac:dyDescent="0.25">
      <c r="A41" t="s">
        <v>81</v>
      </c>
      <c r="B41" t="s">
        <v>82</v>
      </c>
      <c r="C41">
        <v>4.5999999999999996</v>
      </c>
      <c r="D41">
        <v>10369</v>
      </c>
      <c r="E41">
        <v>4</v>
      </c>
      <c r="F41">
        <v>2016</v>
      </c>
      <c r="G41" t="s">
        <v>9</v>
      </c>
      <c r="H41" t="str">
        <f>+CONCATENATE(A41," ",B41)</f>
        <v>Calm the F*ck Down: An Irreverent Adult Coloring Book (Irreverent Book Series) Sasha O'Hara</v>
      </c>
      <c r="I41" t="str">
        <f t="shared" si="0"/>
        <v>Bajo</v>
      </c>
    </row>
    <row r="42" spans="1:9" x14ac:dyDescent="0.25">
      <c r="A42" t="s">
        <v>83</v>
      </c>
      <c r="B42" t="s">
        <v>84</v>
      </c>
      <c r="C42">
        <v>4.8</v>
      </c>
      <c r="D42">
        <v>16244</v>
      </c>
      <c r="E42">
        <v>18</v>
      </c>
      <c r="F42">
        <v>2019</v>
      </c>
      <c r="G42" t="s">
        <v>9</v>
      </c>
      <c r="H42" t="str">
        <f>+CONCATENATE(A42," ",B42)</f>
        <v>Can't Hurt Me: Master Your Mind and Defy the Odds David Goggins</v>
      </c>
      <c r="I42" t="str">
        <f t="shared" si="0"/>
        <v>Bajo</v>
      </c>
    </row>
    <row r="43" spans="1:9" x14ac:dyDescent="0.25">
      <c r="A43" t="s">
        <v>85</v>
      </c>
      <c r="B43" t="s">
        <v>86</v>
      </c>
      <c r="C43">
        <v>4.5</v>
      </c>
      <c r="D43">
        <v>2884</v>
      </c>
      <c r="E43">
        <v>28</v>
      </c>
      <c r="F43">
        <v>2014</v>
      </c>
      <c r="G43" t="s">
        <v>9</v>
      </c>
      <c r="H43" t="str">
        <f>+CONCATENATE(A43," ",B43)</f>
        <v>Capital in the Twenty First Century Thomas Piketty</v>
      </c>
      <c r="I43" t="str">
        <f t="shared" si="0"/>
        <v>Bajo</v>
      </c>
    </row>
    <row r="44" spans="1:9" x14ac:dyDescent="0.25">
      <c r="A44" t="s">
        <v>87</v>
      </c>
      <c r="B44" t="s">
        <v>88</v>
      </c>
      <c r="C44">
        <v>4.7</v>
      </c>
      <c r="D44">
        <v>22614</v>
      </c>
      <c r="E44">
        <v>11</v>
      </c>
      <c r="F44">
        <v>2010</v>
      </c>
      <c r="G44" t="s">
        <v>12</v>
      </c>
      <c r="H44" t="str">
        <f>+CONCATENATE(A44," ",B44)</f>
        <v>Catching Fire (The Hunger Games) Suzanne Collins</v>
      </c>
      <c r="I44" t="str">
        <f t="shared" si="0"/>
        <v>Bajo</v>
      </c>
    </row>
    <row r="45" spans="1:9" x14ac:dyDescent="0.25">
      <c r="A45" t="s">
        <v>89</v>
      </c>
      <c r="B45" t="s">
        <v>90</v>
      </c>
      <c r="C45">
        <v>4.7</v>
      </c>
      <c r="D45">
        <v>4761</v>
      </c>
      <c r="E45">
        <v>16</v>
      </c>
      <c r="F45">
        <v>2016</v>
      </c>
      <c r="G45" t="s">
        <v>9</v>
      </c>
      <c r="H45" t="str">
        <f>+CONCATENATE(A45," ",B45)</f>
        <v>Cravings: Recipes for All the Food You Want to Eat: A Cookbook Chrissy Teigen</v>
      </c>
      <c r="I45" t="str">
        <f t="shared" si="0"/>
        <v>Bajo</v>
      </c>
    </row>
    <row r="46" spans="1:9" x14ac:dyDescent="0.25">
      <c r="A46" t="s">
        <v>91</v>
      </c>
      <c r="B46" t="s">
        <v>92</v>
      </c>
      <c r="C46">
        <v>4.7</v>
      </c>
      <c r="D46">
        <v>1542</v>
      </c>
      <c r="E46">
        <v>14</v>
      </c>
      <c r="F46">
        <v>2009</v>
      </c>
      <c r="G46" t="s">
        <v>9</v>
      </c>
      <c r="H46" t="str">
        <f>+CONCATENATE(A46," ",B46)</f>
        <v>Crazy Love: Overwhelmed by a Relentless God Francis Chan</v>
      </c>
      <c r="I46" t="str">
        <f t="shared" si="0"/>
        <v>Bajo</v>
      </c>
    </row>
    <row r="47" spans="1:9" x14ac:dyDescent="0.25">
      <c r="A47" t="s">
        <v>93</v>
      </c>
      <c r="B47" t="s">
        <v>94</v>
      </c>
      <c r="C47">
        <v>4.3</v>
      </c>
      <c r="D47">
        <v>6143</v>
      </c>
      <c r="E47">
        <v>8</v>
      </c>
      <c r="F47">
        <v>2018</v>
      </c>
      <c r="G47" t="s">
        <v>12</v>
      </c>
      <c r="H47" t="str">
        <f>+CONCATENATE(A47," ",B47)</f>
        <v>Crazy Rich Asians (Crazy Rich Asians Trilogy) Kevin Kwan</v>
      </c>
      <c r="I47" t="str">
        <f t="shared" si="0"/>
        <v>Bajo</v>
      </c>
    </row>
    <row r="48" spans="1:9" x14ac:dyDescent="0.25">
      <c r="A48" t="s">
        <v>95</v>
      </c>
      <c r="B48" t="s">
        <v>96</v>
      </c>
      <c r="C48">
        <v>4.8</v>
      </c>
      <c r="D48">
        <v>4022</v>
      </c>
      <c r="E48">
        <v>4</v>
      </c>
      <c r="F48">
        <v>2015</v>
      </c>
      <c r="G48" t="s">
        <v>9</v>
      </c>
      <c r="H48" t="str">
        <f>+CONCATENATE(A48," ",B48)</f>
        <v>Creative Haven Creative Cats Coloring Book (Adult Coloring) Marjorie Sarnat</v>
      </c>
      <c r="I48" t="str">
        <f t="shared" si="0"/>
        <v>Bajo</v>
      </c>
    </row>
    <row r="49" spans="1:9" x14ac:dyDescent="0.25">
      <c r="A49" t="s">
        <v>97</v>
      </c>
      <c r="B49" t="s">
        <v>96</v>
      </c>
      <c r="C49">
        <v>4.8</v>
      </c>
      <c r="D49">
        <v>3871</v>
      </c>
      <c r="E49">
        <v>5</v>
      </c>
      <c r="F49">
        <v>2015</v>
      </c>
      <c r="G49" t="s">
        <v>9</v>
      </c>
      <c r="H49" t="str">
        <f>+CONCATENATE(A49," ",B49)</f>
        <v>Creative Haven Owls Coloring Book (Adult Coloring) Marjorie Sarnat</v>
      </c>
      <c r="I49" t="str">
        <f t="shared" si="0"/>
        <v>Bajo</v>
      </c>
    </row>
    <row r="50" spans="1:9" x14ac:dyDescent="0.25">
      <c r="A50" t="s">
        <v>98</v>
      </c>
      <c r="B50" t="s">
        <v>99</v>
      </c>
      <c r="C50">
        <v>4.5999999999999996</v>
      </c>
      <c r="D50">
        <v>4866</v>
      </c>
      <c r="E50">
        <v>11</v>
      </c>
      <c r="F50">
        <v>2010</v>
      </c>
      <c r="G50" t="s">
        <v>12</v>
      </c>
      <c r="H50" t="str">
        <f>+CONCATENATE(A50," ",B50)</f>
        <v>Cutting for Stone Abraham Verghese</v>
      </c>
      <c r="I50" t="str">
        <f t="shared" si="0"/>
        <v>Bajo</v>
      </c>
    </row>
    <row r="51" spans="1:9" x14ac:dyDescent="0.25">
      <c r="A51" t="s">
        <v>100</v>
      </c>
      <c r="B51" t="s">
        <v>101</v>
      </c>
      <c r="C51">
        <v>4.8</v>
      </c>
      <c r="D51">
        <v>1329</v>
      </c>
      <c r="E51">
        <v>10</v>
      </c>
      <c r="F51">
        <v>2013</v>
      </c>
      <c r="G51" t="s">
        <v>9</v>
      </c>
      <c r="H51" t="str">
        <f>+CONCATENATE(A51," ",B51)</f>
        <v>Daring Greatly: How the Courage to Be Vulnerable Transforms the Way We Live, Love, Parent, and Lead Brené Brown</v>
      </c>
      <c r="I51" t="str">
        <f t="shared" si="0"/>
        <v>Bajo</v>
      </c>
    </row>
    <row r="52" spans="1:9" x14ac:dyDescent="0.25">
      <c r="A52" t="s">
        <v>102</v>
      </c>
      <c r="B52" t="s">
        <v>103</v>
      </c>
      <c r="C52">
        <v>4.4000000000000004</v>
      </c>
      <c r="D52">
        <v>4642</v>
      </c>
      <c r="E52">
        <v>13</v>
      </c>
      <c r="F52">
        <v>2013</v>
      </c>
      <c r="G52" t="s">
        <v>9</v>
      </c>
      <c r="H52" t="str">
        <f>+CONCATENATE(A52," ",B52)</f>
        <v>David and Goliath: Underdogs, Misfits, and the Art of Battling Giants Malcolm Gladwell</v>
      </c>
      <c r="I52" t="str">
        <f t="shared" si="0"/>
        <v>Bajo</v>
      </c>
    </row>
    <row r="53" spans="1:9" x14ac:dyDescent="0.25">
      <c r="A53" t="s">
        <v>104</v>
      </c>
      <c r="B53" t="s">
        <v>105</v>
      </c>
      <c r="C53">
        <v>4.5999999999999996</v>
      </c>
      <c r="D53">
        <v>1541</v>
      </c>
      <c r="E53">
        <v>4</v>
      </c>
      <c r="F53">
        <v>2009</v>
      </c>
      <c r="G53" t="s">
        <v>12</v>
      </c>
      <c r="H53" t="str">
        <f>+CONCATENATE(A53," ",B53)</f>
        <v>Dead And Gone: A Sookie Stackhouse Novel (Sookie Stackhouse/True Blood) Charlaine Harris</v>
      </c>
      <c r="I53" t="str">
        <f t="shared" si="0"/>
        <v>Bajo</v>
      </c>
    </row>
    <row r="54" spans="1:9" x14ac:dyDescent="0.25">
      <c r="A54" t="s">
        <v>106</v>
      </c>
      <c r="B54" t="s">
        <v>105</v>
      </c>
      <c r="C54">
        <v>4.3</v>
      </c>
      <c r="D54">
        <v>1924</v>
      </c>
      <c r="E54">
        <v>8</v>
      </c>
      <c r="F54">
        <v>2010</v>
      </c>
      <c r="G54" t="s">
        <v>12</v>
      </c>
      <c r="H54" t="str">
        <f>+CONCATENATE(A54," ",B54)</f>
        <v>Dead in the Family (Sookie Stackhouse/True Blood, Book 10) Charlaine Harris</v>
      </c>
      <c r="I54" t="str">
        <f t="shared" si="0"/>
        <v>Bajo</v>
      </c>
    </row>
    <row r="55" spans="1:9" x14ac:dyDescent="0.25">
      <c r="A55" t="s">
        <v>107</v>
      </c>
      <c r="B55" t="s">
        <v>105</v>
      </c>
      <c r="C55">
        <v>4.2</v>
      </c>
      <c r="D55">
        <v>2094</v>
      </c>
      <c r="E55">
        <v>4</v>
      </c>
      <c r="F55">
        <v>2011</v>
      </c>
      <c r="G55" t="s">
        <v>12</v>
      </c>
      <c r="H55" t="str">
        <f>+CONCATENATE(A55," ",B55)</f>
        <v>Dead Reckoning (Sookie Stackhouse/True Blood, Book 11) Charlaine Harris</v>
      </c>
      <c r="I55" t="str">
        <f t="shared" si="0"/>
        <v>Bajo</v>
      </c>
    </row>
    <row r="56" spans="1:9" x14ac:dyDescent="0.25">
      <c r="A56" t="s">
        <v>108</v>
      </c>
      <c r="B56" t="s">
        <v>109</v>
      </c>
      <c r="C56">
        <v>4.8</v>
      </c>
      <c r="D56">
        <v>10922</v>
      </c>
      <c r="E56">
        <v>5</v>
      </c>
      <c r="F56">
        <v>2015</v>
      </c>
      <c r="G56" t="s">
        <v>12</v>
      </c>
      <c r="H56" t="str">
        <f>+CONCATENATE(A56," ",B56)</f>
        <v>Dear Zoo: A Lift-the-Flap Book Rod Campbell</v>
      </c>
      <c r="I56" t="str">
        <f t="shared" si="0"/>
        <v>Bajo</v>
      </c>
    </row>
    <row r="57" spans="1:9" x14ac:dyDescent="0.25">
      <c r="A57" t="s">
        <v>110</v>
      </c>
      <c r="B57" t="s">
        <v>111</v>
      </c>
      <c r="C57">
        <v>4.5999999999999996</v>
      </c>
      <c r="D57">
        <v>2137</v>
      </c>
      <c r="E57">
        <v>17</v>
      </c>
      <c r="F57">
        <v>2010</v>
      </c>
      <c r="G57" t="s">
        <v>9</v>
      </c>
      <c r="H57" t="str">
        <f>+CONCATENATE(A57," ",B57)</f>
        <v>Decision Points George W. Bush</v>
      </c>
      <c r="I57" t="str">
        <f t="shared" si="0"/>
        <v>Bajo</v>
      </c>
    </row>
    <row r="58" spans="1:9" x14ac:dyDescent="0.25">
      <c r="A58" t="s">
        <v>112</v>
      </c>
      <c r="B58" t="s">
        <v>113</v>
      </c>
      <c r="C58">
        <v>4.5999999999999996</v>
      </c>
      <c r="D58">
        <v>1651</v>
      </c>
      <c r="E58">
        <v>15</v>
      </c>
      <c r="F58">
        <v>2010</v>
      </c>
      <c r="G58" t="s">
        <v>9</v>
      </c>
      <c r="H58" t="str">
        <f>+CONCATENATE(A58," ",B58)</f>
        <v>Delivering Happiness: A Path to Profits, Passion, and Purpose Tony Hsieh</v>
      </c>
      <c r="I58" t="str">
        <f t="shared" si="0"/>
        <v>Bajo</v>
      </c>
    </row>
    <row r="59" spans="1:9" x14ac:dyDescent="0.25">
      <c r="A59" t="s">
        <v>114</v>
      </c>
      <c r="B59" t="s">
        <v>115</v>
      </c>
      <c r="C59">
        <v>4.5</v>
      </c>
      <c r="D59">
        <v>6679</v>
      </c>
      <c r="E59">
        <v>105</v>
      </c>
      <c r="F59">
        <v>2013</v>
      </c>
      <c r="G59" t="s">
        <v>9</v>
      </c>
      <c r="H59" t="str">
        <f>+CONCATENATE(A59," ",B59)</f>
        <v>Diagnostic and Statistical Manual of Mental Disorders, 5th Edition: DSM-5 American Psychiatric Association</v>
      </c>
      <c r="I59" t="str">
        <f t="shared" si="0"/>
        <v>Alto</v>
      </c>
    </row>
    <row r="60" spans="1:9" x14ac:dyDescent="0.25">
      <c r="A60" t="s">
        <v>116</v>
      </c>
      <c r="B60" t="s">
        <v>80</v>
      </c>
      <c r="C60">
        <v>4.8</v>
      </c>
      <c r="D60">
        <v>6812</v>
      </c>
      <c r="E60">
        <v>0</v>
      </c>
      <c r="F60">
        <v>2013</v>
      </c>
      <c r="G60" t="s">
        <v>12</v>
      </c>
      <c r="H60" t="str">
        <f>+CONCATENATE(A60," ",B60)</f>
        <v>Diary of a Wimpy Kid: Hard Luck, Book 8 Jeff Kinney</v>
      </c>
      <c r="I60" t="str">
        <f t="shared" si="0"/>
        <v>Bajo</v>
      </c>
    </row>
    <row r="61" spans="1:9" x14ac:dyDescent="0.25">
      <c r="A61" t="s">
        <v>117</v>
      </c>
      <c r="B61" t="s">
        <v>80</v>
      </c>
      <c r="C61">
        <v>4.8</v>
      </c>
      <c r="D61">
        <v>3837</v>
      </c>
      <c r="E61">
        <v>15</v>
      </c>
      <c r="F61">
        <v>2009</v>
      </c>
      <c r="G61" t="s">
        <v>12</v>
      </c>
      <c r="H61" t="str">
        <f>+CONCATENATE(A61," ",B61)</f>
        <v>Diary of a Wimpy Kid: The Last Straw (Book 3) Jeff Kinney</v>
      </c>
      <c r="I61" t="str">
        <f t="shared" si="0"/>
        <v>Bajo</v>
      </c>
    </row>
    <row r="62" spans="1:9" x14ac:dyDescent="0.25">
      <c r="A62" t="s">
        <v>118</v>
      </c>
      <c r="B62" t="s">
        <v>80</v>
      </c>
      <c r="C62">
        <v>4.8</v>
      </c>
      <c r="D62">
        <v>6540</v>
      </c>
      <c r="E62">
        <v>22</v>
      </c>
      <c r="F62">
        <v>2014</v>
      </c>
      <c r="G62" t="s">
        <v>12</v>
      </c>
      <c r="H62" t="str">
        <f>+CONCATENATE(A62," ",B62)</f>
        <v>Diary of a Wimpy Kid: The Long Haul Jeff Kinney</v>
      </c>
      <c r="I62" t="str">
        <f t="shared" si="0"/>
        <v>Bajo</v>
      </c>
    </row>
    <row r="63" spans="1:9" x14ac:dyDescent="0.25">
      <c r="A63" t="s">
        <v>119</v>
      </c>
      <c r="B63" t="s">
        <v>120</v>
      </c>
      <c r="C63">
        <v>4.5999999999999996</v>
      </c>
      <c r="D63">
        <v>7955</v>
      </c>
      <c r="E63">
        <v>5</v>
      </c>
      <c r="F63">
        <v>2019</v>
      </c>
      <c r="G63" t="s">
        <v>9</v>
      </c>
      <c r="H63" t="str">
        <f>+CONCATENATE(A63," ",B63)</f>
        <v>Difficult Riddles For Smart Kids: 300 Difficult Riddles And Brain Teasers Families Will Love (Books for Smart Kids) M Prefontaine</v>
      </c>
      <c r="I63" t="str">
        <f t="shared" si="0"/>
        <v>Bajo</v>
      </c>
    </row>
    <row r="64" spans="1:9" x14ac:dyDescent="0.25">
      <c r="A64" t="s">
        <v>121</v>
      </c>
      <c r="B64" t="s">
        <v>48</v>
      </c>
      <c r="C64">
        <v>4.5999999999999996</v>
      </c>
      <c r="D64">
        <v>27098</v>
      </c>
      <c r="E64">
        <v>15</v>
      </c>
      <c r="F64">
        <v>2013</v>
      </c>
      <c r="G64" t="s">
        <v>12</v>
      </c>
      <c r="H64" t="str">
        <f>+CONCATENATE(A64," ",B64)</f>
        <v>Divergent Veronica Roth</v>
      </c>
      <c r="I64" t="str">
        <f t="shared" si="0"/>
        <v>Bajo</v>
      </c>
    </row>
    <row r="65" spans="1:9" x14ac:dyDescent="0.25">
      <c r="A65" t="s">
        <v>122</v>
      </c>
      <c r="B65" t="s">
        <v>48</v>
      </c>
      <c r="C65">
        <v>4.5</v>
      </c>
      <c r="D65">
        <v>17684</v>
      </c>
      <c r="E65">
        <v>6</v>
      </c>
      <c r="F65">
        <v>2014</v>
      </c>
      <c r="G65" t="s">
        <v>12</v>
      </c>
      <c r="H65" t="str">
        <f>+CONCATENATE(A65," ",B65)</f>
        <v>Divergent / Insurgent Veronica Roth</v>
      </c>
      <c r="I65" t="str">
        <f t="shared" si="0"/>
        <v>Bajo</v>
      </c>
    </row>
    <row r="66" spans="1:9" x14ac:dyDescent="0.25">
      <c r="A66" t="s">
        <v>123</v>
      </c>
      <c r="B66" t="s">
        <v>124</v>
      </c>
      <c r="C66">
        <v>4.5999999999999996</v>
      </c>
      <c r="D66">
        <v>37</v>
      </c>
      <c r="E66">
        <v>6</v>
      </c>
      <c r="F66">
        <v>2009</v>
      </c>
      <c r="G66" t="s">
        <v>9</v>
      </c>
      <c r="H66" t="str">
        <f>+CONCATENATE(A66," ",B66)</f>
        <v>Divine Soul Mind Body Healing and Transmission System: The Divine Way to Heal You, Humanity, Mother Earth, and All… Zhi Gang Sha</v>
      </c>
      <c r="I66" t="str">
        <f t="shared" si="0"/>
        <v>Bajo</v>
      </c>
    </row>
    <row r="67" spans="1:9" x14ac:dyDescent="0.25">
      <c r="A67" t="s">
        <v>125</v>
      </c>
      <c r="B67" t="s">
        <v>11</v>
      </c>
      <c r="C67">
        <v>4.7</v>
      </c>
      <c r="D67">
        <v>15845</v>
      </c>
      <c r="E67">
        <v>13</v>
      </c>
      <c r="F67">
        <v>2013</v>
      </c>
      <c r="G67" t="s">
        <v>12</v>
      </c>
      <c r="H67" t="str">
        <f>+CONCATENATE(A67," ",B67)</f>
        <v>Doctor Sleep: A Novel Stephen King</v>
      </c>
      <c r="I67" t="str">
        <f t="shared" si="0"/>
        <v>Bajo</v>
      </c>
    </row>
    <row r="68" spans="1:9" x14ac:dyDescent="0.25">
      <c r="A68" t="s">
        <v>126</v>
      </c>
      <c r="B68" t="s">
        <v>80</v>
      </c>
      <c r="C68">
        <v>4.8</v>
      </c>
      <c r="D68">
        <v>3181</v>
      </c>
      <c r="E68">
        <v>12</v>
      </c>
      <c r="F68">
        <v>2009</v>
      </c>
      <c r="G68" t="s">
        <v>12</v>
      </c>
      <c r="H68" t="str">
        <f>+CONCATENATE(A68," ",B68)</f>
        <v>Dog Days (Diary of a Wimpy Kid, Book 4) (Volume 4) Jeff Kinney</v>
      </c>
      <c r="I68" t="str">
        <f t="shared" ref="I68:I131" si="1">+IF(E68&lt;=35,"Bajo",IF(E68&lt;=70,"Medio","Alto"))</f>
        <v>Bajo</v>
      </c>
    </row>
    <row r="69" spans="1:9" x14ac:dyDescent="0.25">
      <c r="A69" t="s">
        <v>127</v>
      </c>
      <c r="B69" t="s">
        <v>128</v>
      </c>
      <c r="C69">
        <v>4.9000000000000004</v>
      </c>
      <c r="D69">
        <v>5062</v>
      </c>
      <c r="E69">
        <v>6</v>
      </c>
      <c r="F69">
        <v>2018</v>
      </c>
      <c r="G69" t="s">
        <v>12</v>
      </c>
      <c r="H69" t="str">
        <f>+CONCATENATE(A69," ",B69)</f>
        <v>Dog Man and Cat Kid: From the Creator of Captain Underpants (Dog Man #4) Dav Pilkey</v>
      </c>
      <c r="I69" t="str">
        <f t="shared" si="1"/>
        <v>Bajo</v>
      </c>
    </row>
    <row r="70" spans="1:9" x14ac:dyDescent="0.25">
      <c r="A70" t="s">
        <v>129</v>
      </c>
      <c r="B70" t="s">
        <v>128</v>
      </c>
      <c r="C70">
        <v>4.9000000000000004</v>
      </c>
      <c r="D70">
        <v>4786</v>
      </c>
      <c r="E70">
        <v>8</v>
      </c>
      <c r="F70">
        <v>2017</v>
      </c>
      <c r="G70" t="s">
        <v>12</v>
      </c>
      <c r="H70" t="str">
        <f>+CONCATENATE(A70," ",B70)</f>
        <v>Dog Man: A Tale of Two Kitties: From the Creator of Captain Underpants (Dog Man #3) Dav Pilkey</v>
      </c>
      <c r="I70" t="str">
        <f t="shared" si="1"/>
        <v>Bajo</v>
      </c>
    </row>
    <row r="71" spans="1:9" x14ac:dyDescent="0.25">
      <c r="A71" t="s">
        <v>130</v>
      </c>
      <c r="B71" t="s">
        <v>128</v>
      </c>
      <c r="C71">
        <v>4.9000000000000004</v>
      </c>
      <c r="D71">
        <v>7235</v>
      </c>
      <c r="E71">
        <v>4</v>
      </c>
      <c r="F71">
        <v>2018</v>
      </c>
      <c r="G71" t="s">
        <v>12</v>
      </c>
      <c r="H71" t="str">
        <f>+CONCATENATE(A71," ",B71)</f>
        <v>Dog Man: Brawl of the Wild: From the Creator of Captain Underpants (Dog Man #6) Dav Pilkey</v>
      </c>
      <c r="I71" t="str">
        <f t="shared" si="1"/>
        <v>Bajo</v>
      </c>
    </row>
    <row r="72" spans="1:9" x14ac:dyDescent="0.25">
      <c r="A72" t="s">
        <v>131</v>
      </c>
      <c r="B72" t="s">
        <v>128</v>
      </c>
      <c r="C72">
        <v>4.9000000000000004</v>
      </c>
      <c r="D72">
        <v>12619</v>
      </c>
      <c r="E72">
        <v>8</v>
      </c>
      <c r="F72">
        <v>2019</v>
      </c>
      <c r="G72" t="s">
        <v>12</v>
      </c>
      <c r="H72" t="str">
        <f>+CONCATENATE(A72," ",B72)</f>
        <v>Dog Man: Fetch-22: From the Creator of Captain Underpants (Dog Man #8) Dav Pilkey</v>
      </c>
      <c r="I72" t="str">
        <f t="shared" si="1"/>
        <v>Bajo</v>
      </c>
    </row>
    <row r="73" spans="1:9" x14ac:dyDescent="0.25">
      <c r="A73" t="s">
        <v>132</v>
      </c>
      <c r="B73" t="s">
        <v>128</v>
      </c>
      <c r="C73">
        <v>4.9000000000000004</v>
      </c>
      <c r="D73">
        <v>9089</v>
      </c>
      <c r="E73">
        <v>8</v>
      </c>
      <c r="F73">
        <v>2019</v>
      </c>
      <c r="G73" t="s">
        <v>12</v>
      </c>
      <c r="H73" t="str">
        <f>+CONCATENATE(A73," ",B73)</f>
        <v>Dog Man: For Whom the Ball Rolls: From the Creator of Captain Underpants (Dog Man #7) Dav Pilkey</v>
      </c>
      <c r="I73" t="str">
        <f t="shared" si="1"/>
        <v>Bajo</v>
      </c>
    </row>
    <row r="74" spans="1:9" x14ac:dyDescent="0.25">
      <c r="A74" t="s">
        <v>133</v>
      </c>
      <c r="B74" t="s">
        <v>128</v>
      </c>
      <c r="C74">
        <v>4.9000000000000004</v>
      </c>
      <c r="D74">
        <v>5470</v>
      </c>
      <c r="E74">
        <v>6</v>
      </c>
      <c r="F74">
        <v>2018</v>
      </c>
      <c r="G74" t="s">
        <v>12</v>
      </c>
      <c r="H74" t="str">
        <f>+CONCATENATE(A74," ",B74)</f>
        <v>Dog Man: Lord of the Fleas: From the Creator of Captain Underpants (Dog Man #5) Dav Pilkey</v>
      </c>
      <c r="I74" t="str">
        <f t="shared" si="1"/>
        <v>Bajo</v>
      </c>
    </row>
    <row r="75" spans="1:9" x14ac:dyDescent="0.25">
      <c r="A75" t="s">
        <v>134</v>
      </c>
      <c r="B75" t="s">
        <v>80</v>
      </c>
      <c r="C75">
        <v>4.8</v>
      </c>
      <c r="D75">
        <v>5118</v>
      </c>
      <c r="E75">
        <v>20</v>
      </c>
      <c r="F75">
        <v>2016</v>
      </c>
      <c r="G75" t="s">
        <v>12</v>
      </c>
      <c r="H75" t="str">
        <f>+CONCATENATE(A75," ",B75)</f>
        <v>Double Down (Diary of a Wimpy Kid #11) Jeff Kinney</v>
      </c>
      <c r="I75" t="str">
        <f t="shared" si="1"/>
        <v>Bajo</v>
      </c>
    </row>
    <row r="76" spans="1:9" x14ac:dyDescent="0.25">
      <c r="A76" t="s">
        <v>135</v>
      </c>
      <c r="B76" t="s">
        <v>136</v>
      </c>
      <c r="C76">
        <v>4.5999999999999996</v>
      </c>
      <c r="D76">
        <v>2134</v>
      </c>
      <c r="E76">
        <v>5</v>
      </c>
      <c r="F76">
        <v>2015</v>
      </c>
      <c r="G76" t="s">
        <v>9</v>
      </c>
      <c r="H76" t="str">
        <f>+CONCATENATE(A76," ",B76)</f>
        <v>Dover Creative Haven Art Nouveau Animal Designs Coloring Book (Creative Haven Coloring Books) Marty Noble</v>
      </c>
      <c r="I76" t="str">
        <f t="shared" si="1"/>
        <v>Bajo</v>
      </c>
    </row>
    <row r="77" spans="1:9" x14ac:dyDescent="0.25">
      <c r="A77" t="s">
        <v>137</v>
      </c>
      <c r="B77" t="s">
        <v>138</v>
      </c>
      <c r="C77">
        <v>4.5</v>
      </c>
      <c r="D77">
        <v>2525</v>
      </c>
      <c r="E77">
        <v>16</v>
      </c>
      <c r="F77">
        <v>2010</v>
      </c>
      <c r="G77" t="s">
        <v>9</v>
      </c>
      <c r="H77" t="str">
        <f>+CONCATENATE(A77," ",B77)</f>
        <v>Drive: The Surprising Truth About What Motivates Us Daniel H. Pink</v>
      </c>
      <c r="I77" t="str">
        <f t="shared" si="1"/>
        <v>Bajo</v>
      </c>
    </row>
    <row r="78" spans="1:9" x14ac:dyDescent="0.25">
      <c r="A78" t="s">
        <v>139</v>
      </c>
      <c r="B78" t="s">
        <v>140</v>
      </c>
      <c r="C78">
        <v>4.5</v>
      </c>
      <c r="D78">
        <v>720</v>
      </c>
      <c r="E78">
        <v>1</v>
      </c>
      <c r="F78">
        <v>2009</v>
      </c>
      <c r="G78" t="s">
        <v>9</v>
      </c>
      <c r="H78" t="str">
        <f>+CONCATENATE(A78," ",B78)</f>
        <v>Eat This Not That! Supermarket Survival Guide: The No-Diet Weight Loss Solution David Zinczenko</v>
      </c>
      <c r="I78" t="str">
        <f t="shared" si="1"/>
        <v>Bajo</v>
      </c>
    </row>
    <row r="79" spans="1:9" x14ac:dyDescent="0.25">
      <c r="A79" t="s">
        <v>141</v>
      </c>
      <c r="B79" t="s">
        <v>140</v>
      </c>
      <c r="C79">
        <v>4.3</v>
      </c>
      <c r="D79">
        <v>956</v>
      </c>
      <c r="E79">
        <v>14</v>
      </c>
      <c r="F79">
        <v>2009</v>
      </c>
      <c r="G79" t="s">
        <v>9</v>
      </c>
      <c r="H79" t="str">
        <f>+CONCATENATE(A79," ",B79)</f>
        <v>Eat This, Not That! Thousands of Simple Food Swaps that Can Save You 10, 20, 30 Pounds--or More! David Zinczenko</v>
      </c>
      <c r="I79" t="str">
        <f t="shared" si="1"/>
        <v>Bajo</v>
      </c>
    </row>
    <row r="80" spans="1:9" x14ac:dyDescent="0.25">
      <c r="A80" t="s">
        <v>142</v>
      </c>
      <c r="B80" t="s">
        <v>143</v>
      </c>
      <c r="C80">
        <v>4.5</v>
      </c>
      <c r="D80">
        <v>6346</v>
      </c>
      <c r="E80">
        <v>9</v>
      </c>
      <c r="F80">
        <v>2011</v>
      </c>
      <c r="G80" t="s">
        <v>9</v>
      </c>
      <c r="H80" t="str">
        <f>+CONCATENATE(A80," ",B80)</f>
        <v>Eat to Live: The Amazing Nutrient-Rich Program for Fast and Sustained Weight Loss, Revised Edition Joel Fuhrman MD</v>
      </c>
      <c r="I80" t="str">
        <f t="shared" si="1"/>
        <v>Bajo</v>
      </c>
    </row>
    <row r="81" spans="1:9" x14ac:dyDescent="0.25">
      <c r="A81" t="s">
        <v>144</v>
      </c>
      <c r="B81" t="s">
        <v>75</v>
      </c>
      <c r="C81">
        <v>4.7</v>
      </c>
      <c r="D81">
        <v>5505</v>
      </c>
      <c r="E81">
        <v>7</v>
      </c>
      <c r="F81">
        <v>2009</v>
      </c>
      <c r="G81" t="s">
        <v>12</v>
      </c>
      <c r="H81" t="str">
        <f>+CONCATENATE(A81," ",B81)</f>
        <v>Eclipse (Twilight Sagas) Stephenie Meyer</v>
      </c>
      <c r="I81" t="str">
        <f t="shared" si="1"/>
        <v>Bajo</v>
      </c>
    </row>
    <row r="82" spans="1:9" x14ac:dyDescent="0.25">
      <c r="A82" t="s">
        <v>145</v>
      </c>
      <c r="B82" t="s">
        <v>75</v>
      </c>
      <c r="C82">
        <v>4.7</v>
      </c>
      <c r="D82">
        <v>5505</v>
      </c>
      <c r="E82">
        <v>18</v>
      </c>
      <c r="F82">
        <v>2009</v>
      </c>
      <c r="G82" t="s">
        <v>12</v>
      </c>
      <c r="H82" t="str">
        <f>+CONCATENATE(A82," ",B82)</f>
        <v>Eclipse (Twilight) Stephenie Meyer</v>
      </c>
      <c r="I82" t="str">
        <f t="shared" si="1"/>
        <v>Bajo</v>
      </c>
    </row>
    <row r="83" spans="1:9" x14ac:dyDescent="0.25">
      <c r="A83" t="s">
        <v>146</v>
      </c>
      <c r="B83" t="s">
        <v>147</v>
      </c>
      <c r="C83">
        <v>4.7</v>
      </c>
      <c r="D83">
        <v>28729</v>
      </c>
      <c r="E83">
        <v>15</v>
      </c>
      <c r="F83">
        <v>2018</v>
      </c>
      <c r="G83" t="s">
        <v>9</v>
      </c>
      <c r="H83" t="str">
        <f>+CONCATENATE(A83," ",B83)</f>
        <v>Educated: A Memoir Tara Westover</v>
      </c>
      <c r="I83" t="str">
        <f t="shared" si="1"/>
        <v>Bajo</v>
      </c>
    </row>
    <row r="84" spans="1:9" x14ac:dyDescent="0.25">
      <c r="A84" t="s">
        <v>148</v>
      </c>
      <c r="B84" t="s">
        <v>149</v>
      </c>
      <c r="C84">
        <v>4.7</v>
      </c>
      <c r="D84">
        <v>5413</v>
      </c>
      <c r="E84">
        <v>9</v>
      </c>
      <c r="F84">
        <v>2015</v>
      </c>
      <c r="G84" t="s">
        <v>9</v>
      </c>
      <c r="H84" t="str">
        <f>+CONCATENATE(A84," ",B84)</f>
        <v>Enchanted Forest: An Inky Quest and Coloring book (Activity Books, Mindfulness and Meditation, Illustrated Floral Prints… Johanna Basford</v>
      </c>
      <c r="I84" t="str">
        <f t="shared" si="1"/>
        <v>Bajo</v>
      </c>
    </row>
    <row r="85" spans="1:9" x14ac:dyDescent="0.25">
      <c r="A85" t="s">
        <v>150</v>
      </c>
      <c r="B85" t="s">
        <v>151</v>
      </c>
      <c r="C85">
        <v>4.5999999999999996</v>
      </c>
      <c r="D85">
        <v>10721</v>
      </c>
      <c r="E85">
        <v>8</v>
      </c>
      <c r="F85">
        <v>2016</v>
      </c>
      <c r="G85" t="s">
        <v>12</v>
      </c>
      <c r="H85" t="str">
        <f>+CONCATENATE(A85," ",B85)</f>
        <v>Fahrenheit 451 Ray Bradbury</v>
      </c>
      <c r="I85" t="str">
        <f t="shared" si="1"/>
        <v>Bajo</v>
      </c>
    </row>
    <row r="86" spans="1:9" x14ac:dyDescent="0.25">
      <c r="A86" t="s">
        <v>152</v>
      </c>
      <c r="B86" t="s">
        <v>153</v>
      </c>
      <c r="C86">
        <v>4.7</v>
      </c>
      <c r="D86">
        <v>4370</v>
      </c>
      <c r="E86">
        <v>15</v>
      </c>
      <c r="F86">
        <v>2016</v>
      </c>
      <c r="G86" t="s">
        <v>12</v>
      </c>
      <c r="H86" t="str">
        <f>+CONCATENATE(A86," ",B86)</f>
        <v>Fantastic Beasts and Where to Find Them: The Original Screenplay (Harry Potter) J.K. Rowling</v>
      </c>
      <c r="I86" t="str">
        <f t="shared" si="1"/>
        <v>Bajo</v>
      </c>
    </row>
    <row r="87" spans="1:9" x14ac:dyDescent="0.25">
      <c r="A87" t="s">
        <v>154</v>
      </c>
      <c r="B87" t="s">
        <v>155</v>
      </c>
      <c r="C87">
        <v>4.4000000000000004</v>
      </c>
      <c r="D87">
        <v>6042</v>
      </c>
      <c r="E87">
        <v>2</v>
      </c>
      <c r="F87">
        <v>2018</v>
      </c>
      <c r="G87" t="s">
        <v>9</v>
      </c>
      <c r="H87" t="str">
        <f>+CONCATENATE(A87," ",B87)</f>
        <v>Fear: Trump in the White House Bob Woodward</v>
      </c>
      <c r="I87" t="str">
        <f t="shared" si="1"/>
        <v>Bajo</v>
      </c>
    </row>
    <row r="88" spans="1:9" x14ac:dyDescent="0.25">
      <c r="A88" t="s">
        <v>156</v>
      </c>
      <c r="B88" t="s">
        <v>157</v>
      </c>
      <c r="C88">
        <v>4.4000000000000004</v>
      </c>
      <c r="D88">
        <v>23631</v>
      </c>
      <c r="E88">
        <v>7</v>
      </c>
      <c r="F88">
        <v>2012</v>
      </c>
      <c r="G88" t="s">
        <v>12</v>
      </c>
      <c r="H88" t="str">
        <f>+CONCATENATE(A88," ",B88)</f>
        <v>Fifty Shades Darker E L James</v>
      </c>
      <c r="I88" t="str">
        <f t="shared" si="1"/>
        <v>Bajo</v>
      </c>
    </row>
    <row r="89" spans="1:9" x14ac:dyDescent="0.25">
      <c r="A89" t="s">
        <v>158</v>
      </c>
      <c r="B89" t="s">
        <v>157</v>
      </c>
      <c r="C89">
        <v>4.5</v>
      </c>
      <c r="D89">
        <v>20262</v>
      </c>
      <c r="E89">
        <v>11</v>
      </c>
      <c r="F89">
        <v>2012</v>
      </c>
      <c r="G89" t="s">
        <v>12</v>
      </c>
      <c r="H89" t="str">
        <f>+CONCATENATE(A89," ",B89)</f>
        <v>Fifty Shades Freed: Book Three of the Fifty Shades Trilogy (Fifty Shades of Grey Series) (English Edition) E L James</v>
      </c>
      <c r="I89" t="str">
        <f t="shared" si="1"/>
        <v>Bajo</v>
      </c>
    </row>
    <row r="90" spans="1:9" x14ac:dyDescent="0.25">
      <c r="A90" t="s">
        <v>159</v>
      </c>
      <c r="B90" t="s">
        <v>157</v>
      </c>
      <c r="C90">
        <v>3.8</v>
      </c>
      <c r="D90">
        <v>47265</v>
      </c>
      <c r="E90">
        <v>14</v>
      </c>
      <c r="F90">
        <v>2012</v>
      </c>
      <c r="G90" t="s">
        <v>12</v>
      </c>
      <c r="H90" t="str">
        <f>+CONCATENATE(A90," ",B90)</f>
        <v>Fifty Shades of Grey: Book One of the Fifty Shades Trilogy (Fifty Shades of Grey Series) E L James</v>
      </c>
      <c r="I90" t="str">
        <f t="shared" si="1"/>
        <v>Bajo</v>
      </c>
    </row>
    <row r="91" spans="1:9" x14ac:dyDescent="0.25">
      <c r="A91" t="s">
        <v>160</v>
      </c>
      <c r="B91" t="s">
        <v>157</v>
      </c>
      <c r="C91">
        <v>4.5</v>
      </c>
      <c r="D91">
        <v>13964</v>
      </c>
      <c r="E91">
        <v>32</v>
      </c>
      <c r="F91">
        <v>2012</v>
      </c>
      <c r="G91" t="s">
        <v>12</v>
      </c>
      <c r="H91" t="str">
        <f>+CONCATENATE(A91," ",B91)</f>
        <v>Fifty Shades Trilogy (Fifty Shades of Grey / Fifty Shades Darker / Fifty Shades Freed) E L James</v>
      </c>
      <c r="I91" t="str">
        <f t="shared" si="1"/>
        <v>Bajo</v>
      </c>
    </row>
    <row r="92" spans="1:9" x14ac:dyDescent="0.25">
      <c r="A92" t="s">
        <v>161</v>
      </c>
      <c r="B92" t="s">
        <v>162</v>
      </c>
      <c r="C92">
        <v>4.2</v>
      </c>
      <c r="D92">
        <v>13677</v>
      </c>
      <c r="E92">
        <v>6</v>
      </c>
      <c r="F92">
        <v>2018</v>
      </c>
      <c r="G92" t="s">
        <v>9</v>
      </c>
      <c r="H92" t="str">
        <f>+CONCATENATE(A92," ",B92)</f>
        <v>Fire and Fury: Inside the Trump White House Michael Wolff</v>
      </c>
      <c r="I92" t="str">
        <f t="shared" si="1"/>
        <v>Bajo</v>
      </c>
    </row>
    <row r="93" spans="1:9" x14ac:dyDescent="0.25">
      <c r="A93" t="s">
        <v>163</v>
      </c>
      <c r="B93" t="s">
        <v>164</v>
      </c>
      <c r="C93">
        <v>4.7</v>
      </c>
      <c r="D93">
        <v>17323</v>
      </c>
      <c r="E93">
        <v>4</v>
      </c>
      <c r="F93">
        <v>2014</v>
      </c>
      <c r="G93" t="s">
        <v>9</v>
      </c>
      <c r="H93" t="str">
        <f>+CONCATENATE(A93," ",B93)</f>
        <v>First 100 Words Roger Priddy</v>
      </c>
      <c r="I93" t="str">
        <f t="shared" si="1"/>
        <v>Bajo</v>
      </c>
    </row>
    <row r="94" spans="1:9" x14ac:dyDescent="0.25">
      <c r="A94" t="s">
        <v>165</v>
      </c>
      <c r="B94" t="s">
        <v>166</v>
      </c>
      <c r="C94">
        <v>4.4000000000000004</v>
      </c>
      <c r="D94">
        <v>1555</v>
      </c>
      <c r="E94">
        <v>9</v>
      </c>
      <c r="F94">
        <v>2010</v>
      </c>
      <c r="G94" t="s">
        <v>9</v>
      </c>
      <c r="H94" t="str">
        <f>+CONCATENATE(A94," ",B94)</f>
        <v>Food Rules: An Eater's Manual Michael Pollan</v>
      </c>
      <c r="I94" t="str">
        <f t="shared" si="1"/>
        <v>Bajo</v>
      </c>
    </row>
    <row r="95" spans="1:9" x14ac:dyDescent="0.25">
      <c r="A95" t="s">
        <v>167</v>
      </c>
      <c r="B95" t="s">
        <v>168</v>
      </c>
      <c r="C95">
        <v>4.7</v>
      </c>
      <c r="D95">
        <v>3642</v>
      </c>
      <c r="E95">
        <v>0</v>
      </c>
      <c r="F95">
        <v>2014</v>
      </c>
      <c r="G95" t="s">
        <v>12</v>
      </c>
      <c r="H95" t="str">
        <f>+CONCATENATE(A95," ",B95)</f>
        <v>Frozen (Little Golden Book) RH Disney</v>
      </c>
      <c r="I95" t="str">
        <f t="shared" si="1"/>
        <v>Bajo</v>
      </c>
    </row>
    <row r="96" spans="1:9" x14ac:dyDescent="0.25">
      <c r="A96" t="s">
        <v>169</v>
      </c>
      <c r="B96" t="s">
        <v>170</v>
      </c>
      <c r="C96">
        <v>4.4000000000000004</v>
      </c>
      <c r="D96">
        <v>1215</v>
      </c>
      <c r="E96">
        <v>9</v>
      </c>
      <c r="F96">
        <v>2010</v>
      </c>
      <c r="G96" t="s">
        <v>9</v>
      </c>
      <c r="H96" t="str">
        <f>+CONCATENATE(A96," ",B96)</f>
        <v>Game Change: Obama and the Clintons, McCain and Palin, and the Race of a Lifetime John Heilemann</v>
      </c>
      <c r="I96" t="str">
        <f t="shared" si="1"/>
        <v>Bajo</v>
      </c>
    </row>
    <row r="97" spans="1:9" x14ac:dyDescent="0.25">
      <c r="A97" t="s">
        <v>171</v>
      </c>
      <c r="B97" t="s">
        <v>172</v>
      </c>
      <c r="C97">
        <v>4.5999999999999996</v>
      </c>
      <c r="D97">
        <v>5594</v>
      </c>
      <c r="E97">
        <v>5</v>
      </c>
      <c r="F97">
        <v>2011</v>
      </c>
      <c r="G97" t="s">
        <v>12</v>
      </c>
      <c r="H97" t="str">
        <f>+CONCATENATE(A97," ",B97)</f>
        <v>Game of Thrones Boxed Set: A Game of Thrones/A Clash of Kings/A Storm of Swords/A Feast for Crows George R.R. Martin</v>
      </c>
      <c r="I97" t="str">
        <f t="shared" si="1"/>
        <v>Bajo</v>
      </c>
    </row>
    <row r="98" spans="1:9" x14ac:dyDescent="0.25">
      <c r="A98" t="s">
        <v>173</v>
      </c>
      <c r="B98" t="s">
        <v>174</v>
      </c>
      <c r="C98">
        <v>4.5</v>
      </c>
      <c r="D98">
        <v>408</v>
      </c>
      <c r="E98">
        <v>20</v>
      </c>
      <c r="F98">
        <v>2010</v>
      </c>
      <c r="G98" t="s">
        <v>9</v>
      </c>
      <c r="H98" t="str">
        <f>+CONCATENATE(A98," ",B98)</f>
        <v>George Washington's Sacred Fire Peter A. Lillback</v>
      </c>
      <c r="I98" t="str">
        <f t="shared" si="1"/>
        <v>Bajo</v>
      </c>
    </row>
    <row r="99" spans="1:9" x14ac:dyDescent="0.25">
      <c r="A99" t="s">
        <v>175</v>
      </c>
      <c r="B99" t="s">
        <v>176</v>
      </c>
      <c r="C99">
        <v>4.5999999999999996</v>
      </c>
      <c r="D99">
        <v>4799</v>
      </c>
      <c r="E99">
        <v>16</v>
      </c>
      <c r="F99">
        <v>2013</v>
      </c>
      <c r="G99" t="s">
        <v>9</v>
      </c>
      <c r="H99" t="str">
        <f>+CONCATENATE(A99," ",B99)</f>
        <v>George Washington's Secret Six: The Spy Ring That Saved the American Revolution Brian Kilmeade</v>
      </c>
      <c r="I99" t="str">
        <f t="shared" si="1"/>
        <v>Bajo</v>
      </c>
    </row>
    <row r="100" spans="1:9" x14ac:dyDescent="0.25">
      <c r="A100" t="s">
        <v>177</v>
      </c>
      <c r="B100" t="s">
        <v>178</v>
      </c>
      <c r="C100">
        <v>4.8</v>
      </c>
      <c r="D100">
        <v>14038</v>
      </c>
      <c r="E100">
        <v>4</v>
      </c>
      <c r="F100">
        <v>2015</v>
      </c>
      <c r="G100" t="s">
        <v>12</v>
      </c>
      <c r="H100" t="str">
        <f>+CONCATENATE(A100," ",B100)</f>
        <v>Giraffes Can't Dance Giles Andreae</v>
      </c>
      <c r="I100" t="str">
        <f t="shared" si="1"/>
        <v>Bajo</v>
      </c>
    </row>
    <row r="101" spans="1:9" x14ac:dyDescent="0.25">
      <c r="A101" t="s">
        <v>179</v>
      </c>
      <c r="B101" t="s">
        <v>180</v>
      </c>
      <c r="C101">
        <v>4.5999999999999996</v>
      </c>
      <c r="D101">
        <v>7660</v>
      </c>
      <c r="E101">
        <v>12</v>
      </c>
      <c r="F101">
        <v>2019</v>
      </c>
      <c r="G101" t="s">
        <v>9</v>
      </c>
      <c r="H101" t="str">
        <f>+CONCATENATE(A101," ",B101)</f>
        <v>Girl, Stop Apologizing: A Shame-Free Plan for Embracing and Achieving Your Goals Rachel Hollis</v>
      </c>
      <c r="I101" t="str">
        <f t="shared" si="1"/>
        <v>Bajo</v>
      </c>
    </row>
    <row r="102" spans="1:9" x14ac:dyDescent="0.25">
      <c r="A102" t="s">
        <v>181</v>
      </c>
      <c r="B102" t="s">
        <v>180</v>
      </c>
      <c r="C102">
        <v>4.5999999999999996</v>
      </c>
      <c r="D102">
        <v>22288</v>
      </c>
      <c r="E102">
        <v>12</v>
      </c>
      <c r="F102">
        <v>2018</v>
      </c>
      <c r="G102" t="s">
        <v>9</v>
      </c>
      <c r="H102" t="str">
        <f>+CONCATENATE(A102," ",B102)</f>
        <v>Girl, Wash Your Face: Stop Believing the Lies About Who You Are So You Can Become Who You Were Meant to Be Rachel Hollis</v>
      </c>
      <c r="I102" t="str">
        <f t="shared" si="1"/>
        <v>Bajo</v>
      </c>
    </row>
    <row r="103" spans="1:9" x14ac:dyDescent="0.25">
      <c r="A103" t="s">
        <v>182</v>
      </c>
      <c r="B103" t="s">
        <v>54</v>
      </c>
      <c r="C103">
        <v>4.5999999999999996</v>
      </c>
      <c r="D103">
        <v>1365</v>
      </c>
      <c r="E103">
        <v>11</v>
      </c>
      <c r="F103">
        <v>2009</v>
      </c>
      <c r="G103" t="s">
        <v>9</v>
      </c>
      <c r="H103" t="str">
        <f>+CONCATENATE(A103," ",B103)</f>
        <v>Glenn Beck's Common Sense: The Case Against an Out-of-Control Government, Inspired by Thomas Paine Glenn Beck</v>
      </c>
      <c r="I103" t="str">
        <f t="shared" si="1"/>
        <v>Bajo</v>
      </c>
    </row>
    <row r="104" spans="1:9" x14ac:dyDescent="0.25">
      <c r="A104" t="s">
        <v>183</v>
      </c>
      <c r="B104" t="s">
        <v>184</v>
      </c>
      <c r="C104">
        <v>3.6</v>
      </c>
      <c r="D104">
        <v>14982</v>
      </c>
      <c r="E104">
        <v>19</v>
      </c>
      <c r="F104">
        <v>2015</v>
      </c>
      <c r="G104" t="s">
        <v>12</v>
      </c>
      <c r="H104" t="str">
        <f>+CONCATENATE(A104," ",B104)</f>
        <v>Go Set a Watchman: A Novel Harper Lee</v>
      </c>
      <c r="I104" t="str">
        <f t="shared" si="1"/>
        <v>Bajo</v>
      </c>
    </row>
    <row r="105" spans="1:9" x14ac:dyDescent="0.25">
      <c r="A105" t="s">
        <v>185</v>
      </c>
      <c r="B105" t="s">
        <v>186</v>
      </c>
      <c r="C105">
        <v>4.8</v>
      </c>
      <c r="D105">
        <v>9568</v>
      </c>
      <c r="E105">
        <v>9</v>
      </c>
      <c r="F105">
        <v>2011</v>
      </c>
      <c r="G105" t="s">
        <v>12</v>
      </c>
      <c r="H105" t="str">
        <f>+CONCATENATE(A105," ",B105)</f>
        <v>Go the F**k to Sleep Adam Mansbach</v>
      </c>
      <c r="I105" t="str">
        <f t="shared" si="1"/>
        <v>Bajo</v>
      </c>
    </row>
    <row r="106" spans="1:9" x14ac:dyDescent="0.25">
      <c r="A106" t="s">
        <v>187</v>
      </c>
      <c r="B106" t="s">
        <v>188</v>
      </c>
      <c r="C106">
        <v>4.5999999999999996</v>
      </c>
      <c r="D106">
        <v>1636</v>
      </c>
      <c r="E106">
        <v>6</v>
      </c>
      <c r="F106">
        <v>2009</v>
      </c>
      <c r="G106" t="s">
        <v>9</v>
      </c>
      <c r="H106" t="str">
        <f>+CONCATENATE(A106," ",B106)</f>
        <v>Going Rogue: An American Life Sarah Palin</v>
      </c>
      <c r="I106" t="str">
        <f t="shared" si="1"/>
        <v>Bajo</v>
      </c>
    </row>
    <row r="107" spans="1:9" x14ac:dyDescent="0.25">
      <c r="A107" t="s">
        <v>189</v>
      </c>
      <c r="B107" t="s">
        <v>190</v>
      </c>
      <c r="C107">
        <v>4</v>
      </c>
      <c r="D107">
        <v>57271</v>
      </c>
      <c r="E107">
        <v>10</v>
      </c>
      <c r="F107">
        <v>2012</v>
      </c>
      <c r="G107" t="s">
        <v>12</v>
      </c>
      <c r="H107" t="str">
        <f>+CONCATENATE(A107," ",B107)</f>
        <v>Gone Girl Gillian Flynn</v>
      </c>
      <c r="I107" t="str">
        <f t="shared" si="1"/>
        <v>Bajo</v>
      </c>
    </row>
    <row r="108" spans="1:9" x14ac:dyDescent="0.25">
      <c r="A108" t="s">
        <v>191</v>
      </c>
      <c r="B108" t="s">
        <v>192</v>
      </c>
      <c r="C108">
        <v>4.5999999999999996</v>
      </c>
      <c r="D108">
        <v>10141</v>
      </c>
      <c r="E108">
        <v>6</v>
      </c>
      <c r="F108">
        <v>2019</v>
      </c>
      <c r="G108" t="s">
        <v>9</v>
      </c>
      <c r="H108" t="str">
        <f>+CONCATENATE(A108," ",B108)</f>
        <v>Good Days Start With Gratitude: A 52 Week Guide To Cultivate An Attitude Of Gratitude: Gratitude Journal Pretty Simple Press</v>
      </c>
      <c r="I108" t="str">
        <f t="shared" si="1"/>
        <v>Bajo</v>
      </c>
    </row>
    <row r="109" spans="1:9" x14ac:dyDescent="0.25">
      <c r="A109" t="s">
        <v>193</v>
      </c>
      <c r="B109" t="s">
        <v>194</v>
      </c>
      <c r="C109">
        <v>4.5</v>
      </c>
      <c r="D109">
        <v>3457</v>
      </c>
      <c r="E109">
        <v>14</v>
      </c>
      <c r="F109">
        <v>2009</v>
      </c>
      <c r="G109" t="s">
        <v>9</v>
      </c>
      <c r="H109" t="str">
        <f>+CONCATENATE(A109," ",B109)</f>
        <v>Good to Great: Why Some Companies Make the Leap and Others Don't Jim Collins</v>
      </c>
      <c r="I109" t="str">
        <f t="shared" si="1"/>
        <v>Bajo</v>
      </c>
    </row>
    <row r="110" spans="1:9" x14ac:dyDescent="0.25">
      <c r="A110" t="s">
        <v>195</v>
      </c>
      <c r="B110" t="s">
        <v>196</v>
      </c>
      <c r="C110">
        <v>4.8</v>
      </c>
      <c r="D110">
        <v>8837</v>
      </c>
      <c r="E110">
        <v>5</v>
      </c>
      <c r="F110">
        <v>2017</v>
      </c>
      <c r="G110" t="s">
        <v>12</v>
      </c>
      <c r="H110" t="str">
        <f>+CONCATENATE(A110," ",B110)</f>
        <v>Goodnight Moon Margaret Wise Brown</v>
      </c>
      <c r="I110" t="str">
        <f t="shared" si="1"/>
        <v>Bajo</v>
      </c>
    </row>
    <row r="111" spans="1:9" x14ac:dyDescent="0.25">
      <c r="A111" t="s">
        <v>197</v>
      </c>
      <c r="B111" t="s">
        <v>198</v>
      </c>
      <c r="C111">
        <v>4.9000000000000004</v>
      </c>
      <c r="D111">
        <v>7038</v>
      </c>
      <c r="E111">
        <v>7</v>
      </c>
      <c r="F111">
        <v>2012</v>
      </c>
      <c r="G111" t="s">
        <v>12</v>
      </c>
      <c r="H111" t="str">
        <f>+CONCATENATE(A111," ",B111)</f>
        <v>Goodnight, Goodnight Construction Site (Hardcover Books for Toddlers, Preschool Books for Kids) Sherri Duskey Rinker</v>
      </c>
      <c r="I111" t="str">
        <f t="shared" si="1"/>
        <v>Bajo</v>
      </c>
    </row>
    <row r="112" spans="1:9" x14ac:dyDescent="0.25">
      <c r="A112" t="s">
        <v>199</v>
      </c>
      <c r="B112" t="s">
        <v>200</v>
      </c>
      <c r="C112">
        <v>4.5999999999999996</v>
      </c>
      <c r="D112">
        <v>5972</v>
      </c>
      <c r="E112">
        <v>10</v>
      </c>
      <c r="F112">
        <v>2014</v>
      </c>
      <c r="G112" t="s">
        <v>9</v>
      </c>
      <c r="H112" t="str">
        <f>+CONCATENATE(A112," ",B112)</f>
        <v>Grain Brain: The Surprising Truth about Wheat, Carbs, and Sugar--Your Brain's Silent Killers David Perlmutter MD</v>
      </c>
      <c r="I112" t="str">
        <f t="shared" si="1"/>
        <v>Bajo</v>
      </c>
    </row>
    <row r="113" spans="1:9" x14ac:dyDescent="0.25">
      <c r="A113" t="s">
        <v>201</v>
      </c>
      <c r="B113" t="s">
        <v>157</v>
      </c>
      <c r="C113">
        <v>4.4000000000000004</v>
      </c>
      <c r="D113">
        <v>25624</v>
      </c>
      <c r="E113">
        <v>14</v>
      </c>
      <c r="F113">
        <v>2015</v>
      </c>
      <c r="G113" t="s">
        <v>12</v>
      </c>
      <c r="H113" t="str">
        <f>+CONCATENATE(A113," ",B113)</f>
        <v>Grey: Fifty Shades of Grey as Told by Christian (Fifty Shades of Grey Series) E L James</v>
      </c>
      <c r="I113" t="str">
        <f t="shared" si="1"/>
        <v>Bajo</v>
      </c>
    </row>
    <row r="114" spans="1:9" x14ac:dyDescent="0.25">
      <c r="A114" t="s">
        <v>202</v>
      </c>
      <c r="B114" t="s">
        <v>203</v>
      </c>
      <c r="C114">
        <v>4.8</v>
      </c>
      <c r="D114">
        <v>5476</v>
      </c>
      <c r="E114">
        <v>7</v>
      </c>
      <c r="F114">
        <v>2019</v>
      </c>
      <c r="G114" t="s">
        <v>9</v>
      </c>
      <c r="H114" t="str">
        <f>+CONCATENATE(A114," ",B114)</f>
        <v>Guts Raina Telgemeier</v>
      </c>
      <c r="I114" t="str">
        <f t="shared" si="1"/>
        <v>Bajo</v>
      </c>
    </row>
    <row r="115" spans="1:9" x14ac:dyDescent="0.25">
      <c r="A115" t="s">
        <v>204</v>
      </c>
      <c r="B115" t="s">
        <v>205</v>
      </c>
      <c r="C115">
        <v>4.9000000000000004</v>
      </c>
      <c r="D115">
        <v>5867</v>
      </c>
      <c r="E115">
        <v>54</v>
      </c>
      <c r="F115">
        <v>2016</v>
      </c>
      <c r="G115" t="s">
        <v>9</v>
      </c>
      <c r="H115" t="str">
        <f>+CONCATENATE(A115," ",B115)</f>
        <v>Hamilton: The Revolution Lin-Manuel Miranda</v>
      </c>
      <c r="I115" t="str">
        <f t="shared" si="1"/>
        <v>Medio</v>
      </c>
    </row>
    <row r="116" spans="1:9" x14ac:dyDescent="0.25">
      <c r="A116" t="s">
        <v>206</v>
      </c>
      <c r="B116" t="s">
        <v>207</v>
      </c>
      <c r="C116">
        <v>4.8</v>
      </c>
      <c r="D116">
        <v>4148</v>
      </c>
      <c r="E116">
        <v>11</v>
      </c>
      <c r="F116">
        <v>2013</v>
      </c>
      <c r="G116" t="s">
        <v>9</v>
      </c>
      <c r="H116" t="str">
        <f>+CONCATENATE(A116," ",B116)</f>
        <v>Happy, Happy, Happy: My Life and Legacy as the Duck Commander Phil Robertson</v>
      </c>
      <c r="I116" t="str">
        <f t="shared" si="1"/>
        <v>Bajo</v>
      </c>
    </row>
    <row r="117" spans="1:9" x14ac:dyDescent="0.25">
      <c r="A117" t="s">
        <v>208</v>
      </c>
      <c r="B117" t="s">
        <v>153</v>
      </c>
      <c r="C117">
        <v>4.9000000000000004</v>
      </c>
      <c r="D117">
        <v>19622</v>
      </c>
      <c r="E117">
        <v>30</v>
      </c>
      <c r="F117">
        <v>2016</v>
      </c>
      <c r="G117" t="s">
        <v>12</v>
      </c>
      <c r="H117" t="str">
        <f>+CONCATENATE(A117," ",B117)</f>
        <v>Harry Potter and the Chamber of Secrets: The Illustrated Edition (Harry Potter, Book 2) J.K. Rowling</v>
      </c>
      <c r="I117" t="str">
        <f t="shared" si="1"/>
        <v>Bajo</v>
      </c>
    </row>
    <row r="118" spans="1:9" x14ac:dyDescent="0.25">
      <c r="A118" t="s">
        <v>209</v>
      </c>
      <c r="B118" t="s">
        <v>153</v>
      </c>
      <c r="C118">
        <v>4</v>
      </c>
      <c r="D118">
        <v>23973</v>
      </c>
      <c r="E118">
        <v>12</v>
      </c>
      <c r="F118">
        <v>2016</v>
      </c>
      <c r="G118" t="s">
        <v>12</v>
      </c>
      <c r="H118" t="str">
        <f>+CONCATENATE(A118," ",B118)</f>
        <v>Harry Potter and the Cursed Child, Parts 1 &amp; 2, Special Rehearsal Edition Script J.K. Rowling</v>
      </c>
      <c r="I118" t="str">
        <f t="shared" si="1"/>
        <v>Bajo</v>
      </c>
    </row>
    <row r="119" spans="1:9" x14ac:dyDescent="0.25">
      <c r="A119" t="s">
        <v>210</v>
      </c>
      <c r="B119" t="s">
        <v>211</v>
      </c>
      <c r="C119">
        <v>4.9000000000000004</v>
      </c>
      <c r="D119">
        <v>7758</v>
      </c>
      <c r="E119">
        <v>18</v>
      </c>
      <c r="F119">
        <v>2019</v>
      </c>
      <c r="G119" t="s">
        <v>12</v>
      </c>
      <c r="H119" t="str">
        <f>+CONCATENATE(A119," ",B119)</f>
        <v>Harry Potter and the Goblet of Fire: The Illustrated Edition (Harry Potter, Book 4) (4) J. K. Rowling</v>
      </c>
      <c r="I119" t="str">
        <f t="shared" si="1"/>
        <v>Bajo</v>
      </c>
    </row>
    <row r="120" spans="1:9" x14ac:dyDescent="0.25">
      <c r="A120" t="s">
        <v>212</v>
      </c>
      <c r="B120" t="s">
        <v>153</v>
      </c>
      <c r="C120">
        <v>4.9000000000000004</v>
      </c>
      <c r="D120">
        <v>3146</v>
      </c>
      <c r="E120">
        <v>30</v>
      </c>
      <c r="F120">
        <v>2017</v>
      </c>
      <c r="G120" t="s">
        <v>12</v>
      </c>
      <c r="H120" t="str">
        <f>+CONCATENATE(A120," ",B120)</f>
        <v>Harry Potter and the Prisoner of Azkaban: The Illustrated Edition (Harry Potter, Book 3) J.K. Rowling</v>
      </c>
      <c r="I120" t="str">
        <f t="shared" si="1"/>
        <v>Bajo</v>
      </c>
    </row>
    <row r="121" spans="1:9" x14ac:dyDescent="0.25">
      <c r="A121" t="s">
        <v>213</v>
      </c>
      <c r="B121" t="s">
        <v>153</v>
      </c>
      <c r="C121">
        <v>4.9000000000000004</v>
      </c>
      <c r="D121">
        <v>10052</v>
      </c>
      <c r="E121">
        <v>22</v>
      </c>
      <c r="F121">
        <v>2016</v>
      </c>
      <c r="G121" t="s">
        <v>12</v>
      </c>
      <c r="H121" t="str">
        <f>+CONCATENATE(A121," ",B121)</f>
        <v>Harry Potter and the Sorcerer's Stone: The Illustrated Edition (Harry Potter, Book 1) J.K. Rowling</v>
      </c>
      <c r="I121" t="str">
        <f t="shared" si="1"/>
        <v>Bajo</v>
      </c>
    </row>
    <row r="122" spans="1:9" x14ac:dyDescent="0.25">
      <c r="A122" t="s">
        <v>214</v>
      </c>
      <c r="B122" t="s">
        <v>215</v>
      </c>
      <c r="C122">
        <v>4.7</v>
      </c>
      <c r="D122">
        <v>3564</v>
      </c>
      <c r="E122">
        <v>9</v>
      </c>
      <c r="F122">
        <v>2015</v>
      </c>
      <c r="G122" t="s">
        <v>9</v>
      </c>
      <c r="H122" t="str">
        <f>+CONCATENATE(A122," ",B122)</f>
        <v>Harry Potter Coloring Book Scholastic</v>
      </c>
      <c r="I122" t="str">
        <f t="shared" si="1"/>
        <v>Bajo</v>
      </c>
    </row>
    <row r="123" spans="1:9" x14ac:dyDescent="0.25">
      <c r="A123" t="s">
        <v>216</v>
      </c>
      <c r="B123" t="s">
        <v>211</v>
      </c>
      <c r="C123">
        <v>4.8</v>
      </c>
      <c r="D123">
        <v>13471</v>
      </c>
      <c r="E123">
        <v>52</v>
      </c>
      <c r="F123">
        <v>2016</v>
      </c>
      <c r="G123" t="s">
        <v>12</v>
      </c>
      <c r="H123" t="str">
        <f>+CONCATENATE(A123," ",B123)</f>
        <v>Harry Potter Paperback Box Set (Books 1-7) J. K. Rowling</v>
      </c>
      <c r="I123" t="str">
        <f t="shared" si="1"/>
        <v>Medio</v>
      </c>
    </row>
    <row r="124" spans="1:9" x14ac:dyDescent="0.25">
      <c r="A124" t="s">
        <v>217</v>
      </c>
      <c r="B124" t="s">
        <v>218</v>
      </c>
      <c r="C124">
        <v>4.8</v>
      </c>
      <c r="D124">
        <v>1930</v>
      </c>
      <c r="E124">
        <v>4</v>
      </c>
      <c r="F124">
        <v>2009</v>
      </c>
      <c r="G124" t="s">
        <v>9</v>
      </c>
      <c r="H124" t="str">
        <f>+CONCATENATE(A124," ",B124)</f>
        <v>Have a Little Faith: A True Story Mitch Albom</v>
      </c>
      <c r="I124" t="str">
        <f t="shared" si="1"/>
        <v>Bajo</v>
      </c>
    </row>
    <row r="125" spans="1:9" x14ac:dyDescent="0.25">
      <c r="A125" t="s">
        <v>219</v>
      </c>
      <c r="B125" t="s">
        <v>220</v>
      </c>
      <c r="C125">
        <v>4.7</v>
      </c>
      <c r="D125">
        <v>15779</v>
      </c>
      <c r="E125">
        <v>10</v>
      </c>
      <c r="F125">
        <v>2011</v>
      </c>
      <c r="G125" t="s">
        <v>9</v>
      </c>
      <c r="H125" t="str">
        <f>+CONCATENATE(A125," ",B125)</f>
        <v>Heaven is for Real: A Little Boy's Astounding Story of His Trip to Heaven and Back Todd Burpo</v>
      </c>
      <c r="I125" t="str">
        <f t="shared" si="1"/>
        <v>Bajo</v>
      </c>
    </row>
    <row r="126" spans="1:9" x14ac:dyDescent="0.25">
      <c r="A126" t="s">
        <v>221</v>
      </c>
      <c r="B126" t="s">
        <v>222</v>
      </c>
      <c r="C126">
        <v>4.4000000000000004</v>
      </c>
      <c r="D126">
        <v>15526</v>
      </c>
      <c r="E126">
        <v>14</v>
      </c>
      <c r="F126">
        <v>2016</v>
      </c>
      <c r="G126" t="s">
        <v>9</v>
      </c>
      <c r="H126" t="str">
        <f>+CONCATENATE(A126," ",B126)</f>
        <v>Hillbilly Elegy: A Memoir of a Family and Culture in Crisis J. D. Vance</v>
      </c>
      <c r="I126" t="str">
        <f t="shared" si="1"/>
        <v>Bajo</v>
      </c>
    </row>
    <row r="127" spans="1:9" x14ac:dyDescent="0.25">
      <c r="A127" t="s">
        <v>223</v>
      </c>
      <c r="B127" t="s">
        <v>224</v>
      </c>
      <c r="C127">
        <v>4.8</v>
      </c>
      <c r="D127">
        <v>3776</v>
      </c>
      <c r="E127">
        <v>22</v>
      </c>
      <c r="F127">
        <v>2018</v>
      </c>
      <c r="G127" t="s">
        <v>9</v>
      </c>
      <c r="H127" t="str">
        <f>+CONCATENATE(A127," ",B127)</f>
        <v>Homebody: A Guide to Creating Spaces You Never Want to Leave Joanna Gaines</v>
      </c>
      <c r="I127" t="str">
        <f t="shared" si="1"/>
        <v>Bajo</v>
      </c>
    </row>
    <row r="128" spans="1:9" x14ac:dyDescent="0.25">
      <c r="A128" t="s">
        <v>225</v>
      </c>
      <c r="B128" t="s">
        <v>226</v>
      </c>
      <c r="C128">
        <v>4.7</v>
      </c>
      <c r="D128">
        <v>25001</v>
      </c>
      <c r="E128">
        <v>11</v>
      </c>
      <c r="F128">
        <v>2014</v>
      </c>
      <c r="G128" t="s">
        <v>9</v>
      </c>
      <c r="H128" t="str">
        <f>+CONCATENATE(A128," ",B128)</f>
        <v>How to Win Friends &amp; Influence People Dale Carnegie</v>
      </c>
      <c r="I128" t="str">
        <f t="shared" si="1"/>
        <v>Bajo</v>
      </c>
    </row>
    <row r="129" spans="1:9" x14ac:dyDescent="0.25">
      <c r="A129" t="s">
        <v>227</v>
      </c>
      <c r="B129" t="s">
        <v>228</v>
      </c>
      <c r="C129">
        <v>4.3</v>
      </c>
      <c r="D129">
        <v>5272</v>
      </c>
      <c r="E129">
        <v>16</v>
      </c>
      <c r="F129">
        <v>2019</v>
      </c>
      <c r="G129" t="s">
        <v>9</v>
      </c>
      <c r="H129" t="str">
        <f>+CONCATENATE(A129," ",B129)</f>
        <v>Howard Stern Comes Again Howard Stern</v>
      </c>
      <c r="I129" t="str">
        <f t="shared" si="1"/>
        <v>Bajo</v>
      </c>
    </row>
    <row r="130" spans="1:9" x14ac:dyDescent="0.25">
      <c r="A130" t="s">
        <v>229</v>
      </c>
      <c r="B130" t="s">
        <v>230</v>
      </c>
      <c r="C130">
        <v>4.8</v>
      </c>
      <c r="D130">
        <v>3490</v>
      </c>
      <c r="E130">
        <v>15</v>
      </c>
      <c r="F130">
        <v>2013</v>
      </c>
      <c r="G130" t="s">
        <v>9</v>
      </c>
      <c r="H130" t="str">
        <f>+CONCATENATE(A130," ",B130)</f>
        <v>Humans of New York Brandon Stanton</v>
      </c>
      <c r="I130" t="str">
        <f t="shared" si="1"/>
        <v>Bajo</v>
      </c>
    </row>
    <row r="131" spans="1:9" x14ac:dyDescent="0.25">
      <c r="A131" t="s">
        <v>231</v>
      </c>
      <c r="B131" t="s">
        <v>230</v>
      </c>
      <c r="C131">
        <v>4.9000000000000004</v>
      </c>
      <c r="D131">
        <v>2812</v>
      </c>
      <c r="E131">
        <v>17</v>
      </c>
      <c r="F131">
        <v>2015</v>
      </c>
      <c r="G131" t="s">
        <v>9</v>
      </c>
      <c r="H131" t="str">
        <f>+CONCATENATE(A131," ",B131)</f>
        <v>Humans of New York : Stories Brandon Stanton</v>
      </c>
      <c r="I131" t="str">
        <f t="shared" si="1"/>
        <v>Bajo</v>
      </c>
    </row>
    <row r="132" spans="1:9" x14ac:dyDescent="0.25">
      <c r="A132" t="s">
        <v>232</v>
      </c>
      <c r="B132" t="s">
        <v>233</v>
      </c>
      <c r="C132">
        <v>4.7</v>
      </c>
      <c r="D132">
        <v>4896</v>
      </c>
      <c r="E132">
        <v>17</v>
      </c>
      <c r="F132">
        <v>2013</v>
      </c>
      <c r="G132" t="s">
        <v>9</v>
      </c>
      <c r="H132" t="str">
        <f>+CONCATENATE(A132," ",B132)</f>
        <v>Hyperbole and a Half: Unfortunate Situations, Flawed Coping Mechanisms, Mayhem, and Other Things That Happened Allie Brosh</v>
      </c>
      <c r="I132" t="str">
        <f t="shared" ref="I132:I195" si="2">+IF(E132&lt;=35,"Bajo",IF(E132&lt;=70,"Medio","Alto"))</f>
        <v>Bajo</v>
      </c>
    </row>
    <row r="133" spans="1:9" x14ac:dyDescent="0.25">
      <c r="A133" t="s">
        <v>234</v>
      </c>
      <c r="B133" t="s">
        <v>235</v>
      </c>
      <c r="C133">
        <v>4.8</v>
      </c>
      <c r="D133">
        <v>9737</v>
      </c>
      <c r="E133">
        <v>7</v>
      </c>
      <c r="F133">
        <v>2019</v>
      </c>
      <c r="G133" t="s">
        <v>9</v>
      </c>
      <c r="H133" t="str">
        <f>+CONCATENATE(A133," ",B133)</f>
        <v>I Am Confident, Brave &amp; Beautiful: A Coloring Book for Girls Hopscotch Girls</v>
      </c>
      <c r="I133" t="str">
        <f t="shared" si="2"/>
        <v>Bajo</v>
      </c>
    </row>
    <row r="134" spans="1:9" x14ac:dyDescent="0.25">
      <c r="A134" t="s">
        <v>236</v>
      </c>
      <c r="B134" t="s">
        <v>237</v>
      </c>
      <c r="C134">
        <v>4.5999999999999996</v>
      </c>
      <c r="D134">
        <v>1320</v>
      </c>
      <c r="E134">
        <v>7</v>
      </c>
      <c r="F134">
        <v>2009</v>
      </c>
      <c r="G134" t="s">
        <v>12</v>
      </c>
      <c r="H134" t="str">
        <f>+CONCATENATE(A134," ",B134)</f>
        <v>I, Alex Cross James Patterson</v>
      </c>
      <c r="I134" t="str">
        <f t="shared" si="2"/>
        <v>Bajo</v>
      </c>
    </row>
    <row r="135" spans="1:9" x14ac:dyDescent="0.25">
      <c r="A135" t="s">
        <v>238</v>
      </c>
      <c r="B135" t="s">
        <v>239</v>
      </c>
      <c r="C135">
        <v>4.8</v>
      </c>
      <c r="D135">
        <v>16643</v>
      </c>
      <c r="E135">
        <v>4</v>
      </c>
      <c r="F135">
        <v>2017</v>
      </c>
      <c r="G135" t="s">
        <v>12</v>
      </c>
      <c r="H135" t="str">
        <f>+CONCATENATE(A135," ",B135)</f>
        <v>If Animals Kissed Good Night Ann Whitford Paul</v>
      </c>
      <c r="I135" t="str">
        <f t="shared" si="2"/>
        <v>Bajo</v>
      </c>
    </row>
    <row r="136" spans="1:9" x14ac:dyDescent="0.25">
      <c r="A136" t="s">
        <v>240</v>
      </c>
      <c r="B136" t="s">
        <v>241</v>
      </c>
      <c r="C136">
        <v>4.3</v>
      </c>
      <c r="D136">
        <v>7153</v>
      </c>
      <c r="E136">
        <v>9</v>
      </c>
      <c r="F136">
        <v>2014</v>
      </c>
      <c r="G136" t="s">
        <v>12</v>
      </c>
      <c r="H136" t="str">
        <f>+CONCATENATE(A136," ",B136)</f>
        <v>If I Stay Gayle Forman</v>
      </c>
      <c r="I136" t="str">
        <f t="shared" si="2"/>
        <v>Bajo</v>
      </c>
    </row>
    <row r="137" spans="1:9" x14ac:dyDescent="0.25">
      <c r="A137" t="s">
        <v>242</v>
      </c>
      <c r="B137" t="s">
        <v>243</v>
      </c>
      <c r="C137">
        <v>4.4000000000000004</v>
      </c>
      <c r="D137">
        <v>4571</v>
      </c>
      <c r="E137">
        <v>21</v>
      </c>
      <c r="F137">
        <v>2011</v>
      </c>
      <c r="G137" t="s">
        <v>9</v>
      </c>
      <c r="H137" t="str">
        <f>+CONCATENATE(A137," ",B137)</f>
        <v>In the Garden of Beasts: Love, Terror, and an American Family in Hitler's Berlin Eric Larson</v>
      </c>
      <c r="I137" t="str">
        <f t="shared" si="2"/>
        <v>Bajo</v>
      </c>
    </row>
    <row r="138" spans="1:9" x14ac:dyDescent="0.25">
      <c r="A138" t="s">
        <v>244</v>
      </c>
      <c r="B138" t="s">
        <v>245</v>
      </c>
      <c r="C138">
        <v>4.0999999999999996</v>
      </c>
      <c r="D138">
        <v>29651</v>
      </c>
      <c r="E138">
        <v>14</v>
      </c>
      <c r="F138">
        <v>2013</v>
      </c>
      <c r="G138" t="s">
        <v>12</v>
      </c>
      <c r="H138" t="str">
        <f>+CONCATENATE(A138," ",B138)</f>
        <v>Inferno Dan Brown</v>
      </c>
      <c r="I138" t="str">
        <f t="shared" si="2"/>
        <v>Bajo</v>
      </c>
    </row>
    <row r="139" spans="1:9" x14ac:dyDescent="0.25">
      <c r="A139" t="s">
        <v>246</v>
      </c>
      <c r="B139" t="s">
        <v>247</v>
      </c>
      <c r="C139">
        <v>4.5999999999999996</v>
      </c>
      <c r="D139">
        <v>5299</v>
      </c>
      <c r="E139">
        <v>20</v>
      </c>
      <c r="F139">
        <v>2011</v>
      </c>
      <c r="G139" t="s">
        <v>12</v>
      </c>
      <c r="H139" t="str">
        <f>+CONCATENATE(A139," ",B139)</f>
        <v>Inheritance: Book IV (Inheritance Cycle) Christopher Paolini</v>
      </c>
      <c r="I139" t="str">
        <f t="shared" si="2"/>
        <v>Bajo</v>
      </c>
    </row>
    <row r="140" spans="1:9" x14ac:dyDescent="0.25">
      <c r="A140" t="s">
        <v>248</v>
      </c>
      <c r="B140" t="s">
        <v>249</v>
      </c>
      <c r="C140">
        <v>4.4000000000000004</v>
      </c>
      <c r="D140">
        <v>7396</v>
      </c>
      <c r="E140">
        <v>13</v>
      </c>
      <c r="F140">
        <v>2019</v>
      </c>
      <c r="G140" t="s">
        <v>9</v>
      </c>
      <c r="H140" t="str">
        <f>+CONCATENATE(A140," ",B140)</f>
        <v>Instant Pot Pressure Cooker Cookbook: 500 Everyday Recipes for Beginners and Advanced Users. Try Easy and Healthy… Jennifer Smith</v>
      </c>
      <c r="I140" t="str">
        <f t="shared" si="2"/>
        <v>Bajo</v>
      </c>
    </row>
    <row r="141" spans="1:9" x14ac:dyDescent="0.25">
      <c r="A141" t="s">
        <v>250</v>
      </c>
      <c r="B141" t="s">
        <v>251</v>
      </c>
      <c r="C141">
        <v>4.8</v>
      </c>
      <c r="D141">
        <v>7062</v>
      </c>
      <c r="E141">
        <v>12</v>
      </c>
      <c r="F141">
        <v>2019</v>
      </c>
      <c r="G141" t="s">
        <v>9</v>
      </c>
      <c r="H141" t="str">
        <f>+CONCATENATE(A141," ",B141)</f>
        <v>It's Not Supposed to Be This Way: Finding Unexpected Strength When Disappointments Leave You Shattered Lysa TerKeurst</v>
      </c>
      <c r="I141" t="str">
        <f t="shared" si="2"/>
        <v>Bajo</v>
      </c>
    </row>
    <row r="142" spans="1:9" x14ac:dyDescent="0.25">
      <c r="A142" t="s">
        <v>252</v>
      </c>
      <c r="B142" t="s">
        <v>253</v>
      </c>
      <c r="C142">
        <v>4.9000000000000004</v>
      </c>
      <c r="D142">
        <v>19576</v>
      </c>
      <c r="E142">
        <v>8</v>
      </c>
      <c r="F142">
        <v>2011</v>
      </c>
      <c r="G142" t="s">
        <v>9</v>
      </c>
      <c r="H142" t="str">
        <f>+CONCATENATE(A142," ",B142)</f>
        <v>Jesus Calling: Enjoying Peace in His Presence (with Scripture References) Sarah Young</v>
      </c>
      <c r="I142" t="str">
        <f t="shared" si="2"/>
        <v>Bajo</v>
      </c>
    </row>
    <row r="143" spans="1:9" x14ac:dyDescent="0.25">
      <c r="A143" t="s">
        <v>254</v>
      </c>
      <c r="B143" t="s">
        <v>168</v>
      </c>
      <c r="C143">
        <v>4.5999999999999996</v>
      </c>
      <c r="D143">
        <v>978</v>
      </c>
      <c r="E143">
        <v>0</v>
      </c>
      <c r="F143">
        <v>2014</v>
      </c>
      <c r="G143" t="s">
        <v>12</v>
      </c>
      <c r="H143" t="str">
        <f>+CONCATENATE(A143," ",B143)</f>
        <v>JOURNEY TO THE ICE P RH Disney</v>
      </c>
      <c r="I143" t="str">
        <f t="shared" si="2"/>
        <v>Bajo</v>
      </c>
    </row>
    <row r="144" spans="1:9" x14ac:dyDescent="0.25">
      <c r="A144" t="s">
        <v>255</v>
      </c>
      <c r="B144" t="s">
        <v>11</v>
      </c>
      <c r="C144">
        <v>4.5</v>
      </c>
      <c r="D144">
        <v>4748</v>
      </c>
      <c r="E144">
        <v>12</v>
      </c>
      <c r="F144">
        <v>2013</v>
      </c>
      <c r="G144" t="s">
        <v>12</v>
      </c>
      <c r="H144" t="str">
        <f>+CONCATENATE(A144," ",B144)</f>
        <v>Joyland (Hard Case Crime) Stephen King</v>
      </c>
      <c r="I144" t="str">
        <f t="shared" si="2"/>
        <v>Bajo</v>
      </c>
    </row>
    <row r="145" spans="1:9" x14ac:dyDescent="0.25">
      <c r="A145" t="s">
        <v>256</v>
      </c>
      <c r="B145" t="s">
        <v>257</v>
      </c>
      <c r="C145">
        <v>4.5999999999999996</v>
      </c>
      <c r="D145">
        <v>8393</v>
      </c>
      <c r="E145">
        <v>17</v>
      </c>
      <c r="F145">
        <v>2017</v>
      </c>
      <c r="G145" t="s">
        <v>9</v>
      </c>
      <c r="H145" t="str">
        <f>+CONCATENATE(A145," ",B145)</f>
        <v>Killers of the Flower Moon: The Osage Murders and the Birth of the FBI David Grann</v>
      </c>
      <c r="I145" t="str">
        <f t="shared" si="2"/>
        <v>Bajo</v>
      </c>
    </row>
    <row r="146" spans="1:9" x14ac:dyDescent="0.25">
      <c r="A146" t="s">
        <v>258</v>
      </c>
      <c r="B146" t="s">
        <v>259</v>
      </c>
      <c r="C146">
        <v>4.5</v>
      </c>
      <c r="D146">
        <v>11391</v>
      </c>
      <c r="E146">
        <v>12</v>
      </c>
      <c r="F146">
        <v>2013</v>
      </c>
      <c r="G146" t="s">
        <v>9</v>
      </c>
      <c r="H146" t="str">
        <f>+CONCATENATE(A146," ",B146)</f>
        <v>Killing Jesus (Bill O'Reilly's Killing Series) Bill O'Reilly</v>
      </c>
      <c r="I146" t="str">
        <f t="shared" si="2"/>
        <v>Bajo</v>
      </c>
    </row>
    <row r="147" spans="1:9" x14ac:dyDescent="0.25">
      <c r="A147" t="s">
        <v>260</v>
      </c>
      <c r="B147" t="s">
        <v>259</v>
      </c>
      <c r="C147">
        <v>4.5999999999999996</v>
      </c>
      <c r="D147">
        <v>8634</v>
      </c>
      <c r="E147">
        <v>25</v>
      </c>
      <c r="F147">
        <v>2012</v>
      </c>
      <c r="G147" t="s">
        <v>9</v>
      </c>
      <c r="H147" t="str">
        <f>+CONCATENATE(A147," ",B147)</f>
        <v>Killing Kennedy: The End of Camelot Bill O'Reilly</v>
      </c>
      <c r="I147" t="str">
        <f t="shared" si="2"/>
        <v>Bajo</v>
      </c>
    </row>
    <row r="148" spans="1:9" x14ac:dyDescent="0.25">
      <c r="A148" t="s">
        <v>261</v>
      </c>
      <c r="B148" t="s">
        <v>259</v>
      </c>
      <c r="C148">
        <v>4.7</v>
      </c>
      <c r="D148">
        <v>9342</v>
      </c>
      <c r="E148">
        <v>10</v>
      </c>
      <c r="F148">
        <v>2011</v>
      </c>
      <c r="G148" t="s">
        <v>9</v>
      </c>
      <c r="H148" t="str">
        <f>+CONCATENATE(A148," ",B148)</f>
        <v>Killing Lincoln: The Shocking Assassination that Changed America Forever (Bill O'Reilly's Killing Series) Bill O'Reilly</v>
      </c>
      <c r="I148" t="str">
        <f t="shared" si="2"/>
        <v>Bajo</v>
      </c>
    </row>
    <row r="149" spans="1:9" x14ac:dyDescent="0.25">
      <c r="A149" t="s">
        <v>262</v>
      </c>
      <c r="B149" t="s">
        <v>259</v>
      </c>
      <c r="C149">
        <v>4.5999999999999996</v>
      </c>
      <c r="D149">
        <v>10927</v>
      </c>
      <c r="E149">
        <v>6</v>
      </c>
      <c r="F149">
        <v>2014</v>
      </c>
      <c r="G149" t="s">
        <v>9</v>
      </c>
      <c r="H149" t="str">
        <f>+CONCATENATE(A149," ",B149)</f>
        <v>Killing Patton: The Strange Death of World War II's Most Audacious General (Bill O'Reilly's Killing Series) Bill O'Reilly</v>
      </c>
      <c r="I149" t="str">
        <f t="shared" si="2"/>
        <v>Bajo</v>
      </c>
    </row>
    <row r="150" spans="1:9" x14ac:dyDescent="0.25">
      <c r="A150" t="s">
        <v>263</v>
      </c>
      <c r="B150" t="s">
        <v>259</v>
      </c>
      <c r="C150">
        <v>4.5999999999999996</v>
      </c>
      <c r="D150">
        <v>5235</v>
      </c>
      <c r="E150">
        <v>5</v>
      </c>
      <c r="F150">
        <v>2015</v>
      </c>
      <c r="G150" t="s">
        <v>9</v>
      </c>
      <c r="H150" t="str">
        <f>+CONCATENATE(A150," ",B150)</f>
        <v>Killing Reagan: The Violent Assault That Changed a Presidency (Bill O'Reilly's Killing Series) Bill O'Reilly</v>
      </c>
      <c r="I150" t="str">
        <f t="shared" si="2"/>
        <v>Bajo</v>
      </c>
    </row>
    <row r="151" spans="1:9" x14ac:dyDescent="0.25">
      <c r="A151" t="s">
        <v>264</v>
      </c>
      <c r="B151" t="s">
        <v>259</v>
      </c>
      <c r="C151">
        <v>4.8</v>
      </c>
      <c r="D151">
        <v>8916</v>
      </c>
      <c r="E151">
        <v>6</v>
      </c>
      <c r="F151">
        <v>2016</v>
      </c>
      <c r="G151" t="s">
        <v>9</v>
      </c>
      <c r="H151" t="str">
        <f>+CONCATENATE(A151," ",B151)</f>
        <v>Killing the Rising Sun: How America Vanquished World War II Japan (Bill O'Reilly's Killing Series) Bill O'Reilly</v>
      </c>
      <c r="I151" t="str">
        <f t="shared" si="2"/>
        <v>Bajo</v>
      </c>
    </row>
    <row r="152" spans="1:9" x14ac:dyDescent="0.25">
      <c r="A152" t="s">
        <v>265</v>
      </c>
      <c r="B152" t="s">
        <v>266</v>
      </c>
      <c r="C152">
        <v>4.8</v>
      </c>
      <c r="D152">
        <v>2507</v>
      </c>
      <c r="E152">
        <v>8</v>
      </c>
      <c r="F152">
        <v>2018</v>
      </c>
      <c r="G152" t="s">
        <v>9</v>
      </c>
      <c r="H152" t="str">
        <f>+CONCATENATE(A152," ",B152)</f>
        <v>Kitchen Confidential Updated Edition: Adventures in the Culinary Underbelly (P.S.) Anthony Bourdain</v>
      </c>
      <c r="I152" t="str">
        <f t="shared" si="2"/>
        <v>Bajo</v>
      </c>
    </row>
    <row r="153" spans="1:9" x14ac:dyDescent="0.25">
      <c r="A153" t="s">
        <v>267</v>
      </c>
      <c r="B153" t="s">
        <v>268</v>
      </c>
      <c r="C153">
        <v>4.5</v>
      </c>
      <c r="D153">
        <v>3673</v>
      </c>
      <c r="E153">
        <v>4</v>
      </c>
      <c r="F153">
        <v>2013</v>
      </c>
      <c r="G153" t="s">
        <v>9</v>
      </c>
      <c r="H153" t="str">
        <f>+CONCATENATE(A153," ",B153)</f>
        <v>Knock-Knock Jokes for Kids Rob Elliott</v>
      </c>
      <c r="I153" t="str">
        <f t="shared" si="2"/>
        <v>Bajo</v>
      </c>
    </row>
    <row r="154" spans="1:9" x14ac:dyDescent="0.25">
      <c r="A154" t="s">
        <v>269</v>
      </c>
      <c r="B154" t="s">
        <v>270</v>
      </c>
      <c r="C154">
        <v>4.9000000000000004</v>
      </c>
      <c r="D154">
        <v>11881</v>
      </c>
      <c r="E154">
        <v>13</v>
      </c>
      <c r="F154">
        <v>2018</v>
      </c>
      <c r="G154" t="s">
        <v>12</v>
      </c>
      <c r="H154" t="str">
        <f>+CONCATENATE(A154," ",B154)</f>
        <v>Last Week Tonight with John Oliver Presents A Day in the Life of Marlon Bundo (Better Bundo Book, LGBT Childrens Book) Jill Twiss</v>
      </c>
      <c r="I154" t="str">
        <f t="shared" si="2"/>
        <v>Bajo</v>
      </c>
    </row>
    <row r="155" spans="1:9" x14ac:dyDescent="0.25">
      <c r="A155" t="s">
        <v>271</v>
      </c>
      <c r="B155" t="s">
        <v>268</v>
      </c>
      <c r="C155">
        <v>4.5999999999999996</v>
      </c>
      <c r="D155">
        <v>6990</v>
      </c>
      <c r="E155">
        <v>4</v>
      </c>
      <c r="F155">
        <v>2013</v>
      </c>
      <c r="G155" t="s">
        <v>9</v>
      </c>
      <c r="H155" t="str">
        <f>+CONCATENATE(A155," ",B155)</f>
        <v>Laugh-Out-Loud Jokes for Kids Rob Elliott</v>
      </c>
      <c r="I155" t="str">
        <f t="shared" si="2"/>
        <v>Bajo</v>
      </c>
    </row>
    <row r="156" spans="1:9" x14ac:dyDescent="0.25">
      <c r="A156" t="s">
        <v>272</v>
      </c>
      <c r="B156" t="s">
        <v>273</v>
      </c>
      <c r="C156">
        <v>4.5</v>
      </c>
      <c r="D156">
        <v>6132</v>
      </c>
      <c r="E156">
        <v>13</v>
      </c>
      <c r="F156">
        <v>2013</v>
      </c>
      <c r="G156" t="s">
        <v>9</v>
      </c>
      <c r="H156" t="str">
        <f>+CONCATENATE(A156," ",B156)</f>
        <v>Lean In: Women, Work, and the Will to Lead Sheryl Sandberg</v>
      </c>
      <c r="I156" t="str">
        <f t="shared" si="2"/>
        <v>Bajo</v>
      </c>
    </row>
    <row r="157" spans="1:9" x14ac:dyDescent="0.25">
      <c r="A157" t="s">
        <v>274</v>
      </c>
      <c r="B157" t="s">
        <v>275</v>
      </c>
      <c r="C157">
        <v>4.5</v>
      </c>
      <c r="D157">
        <v>3014</v>
      </c>
      <c r="E157">
        <v>21</v>
      </c>
      <c r="F157">
        <v>2017</v>
      </c>
      <c r="G157" t="s">
        <v>9</v>
      </c>
      <c r="H157" t="str">
        <f>+CONCATENATE(A157," ",B157)</f>
        <v>Leonardo da Vinci Walter Isaacson</v>
      </c>
      <c r="I157" t="str">
        <f t="shared" si="2"/>
        <v>Bajo</v>
      </c>
    </row>
    <row r="158" spans="1:9" x14ac:dyDescent="0.25">
      <c r="A158" t="s">
        <v>276</v>
      </c>
      <c r="B158" t="s">
        <v>277</v>
      </c>
      <c r="C158">
        <v>4.4000000000000004</v>
      </c>
      <c r="D158">
        <v>7550</v>
      </c>
      <c r="E158">
        <v>6</v>
      </c>
      <c r="F158">
        <v>2018</v>
      </c>
      <c r="G158" t="s">
        <v>9</v>
      </c>
      <c r="H158" t="str">
        <f>+CONCATENATE(A158," ",B158)</f>
        <v>Lettering and Modern Calligraphy: A Beginner's Guide: Learn Hand Lettering and Brush Lettering Paper Peony Press</v>
      </c>
      <c r="I158" t="str">
        <f t="shared" si="2"/>
        <v>Bajo</v>
      </c>
    </row>
    <row r="159" spans="1:9" x14ac:dyDescent="0.25">
      <c r="A159" t="s">
        <v>278</v>
      </c>
      <c r="B159" t="s">
        <v>279</v>
      </c>
      <c r="C159">
        <v>4.8</v>
      </c>
      <c r="D159">
        <v>3828</v>
      </c>
      <c r="E159">
        <v>15</v>
      </c>
      <c r="F159">
        <v>2009</v>
      </c>
      <c r="G159" t="s">
        <v>9</v>
      </c>
      <c r="H159" t="str">
        <f>+CONCATENATE(A159," ",B159)</f>
        <v>Liberty and Tyranny: A Conservative Manifesto Mark R. Levin</v>
      </c>
      <c r="I159" t="str">
        <f t="shared" si="2"/>
        <v>Bajo</v>
      </c>
    </row>
    <row r="160" spans="1:9" x14ac:dyDescent="0.25">
      <c r="A160" t="s">
        <v>280</v>
      </c>
      <c r="B160" t="s">
        <v>281</v>
      </c>
      <c r="C160">
        <v>4.5</v>
      </c>
      <c r="D160">
        <v>2752</v>
      </c>
      <c r="E160">
        <v>18</v>
      </c>
      <c r="F160">
        <v>2010</v>
      </c>
      <c r="G160" t="s">
        <v>9</v>
      </c>
      <c r="H160" t="str">
        <f>+CONCATENATE(A160," ",B160)</f>
        <v>Life Keith Richards</v>
      </c>
      <c r="I160" t="str">
        <f t="shared" si="2"/>
        <v>Bajo</v>
      </c>
    </row>
    <row r="161" spans="1:9" x14ac:dyDescent="0.25">
      <c r="A161" t="s">
        <v>282</v>
      </c>
      <c r="B161" t="s">
        <v>283</v>
      </c>
      <c r="C161">
        <v>4.0999999999999996</v>
      </c>
      <c r="D161">
        <v>1467</v>
      </c>
      <c r="E161">
        <v>10</v>
      </c>
      <c r="F161">
        <v>2010</v>
      </c>
      <c r="G161" t="s">
        <v>12</v>
      </c>
      <c r="H161" t="str">
        <f>+CONCATENATE(A161," ",B161)</f>
        <v>Little Bee: A Novel Chris Cleave</v>
      </c>
      <c r="I161" t="str">
        <f t="shared" si="2"/>
        <v>Bajo</v>
      </c>
    </row>
    <row r="162" spans="1:9" x14ac:dyDescent="0.25">
      <c r="A162" t="s">
        <v>284</v>
      </c>
      <c r="B162" t="s">
        <v>285</v>
      </c>
      <c r="C162">
        <v>4.9000000000000004</v>
      </c>
      <c r="D162">
        <v>1884</v>
      </c>
      <c r="E162">
        <v>0</v>
      </c>
      <c r="F162">
        <v>2014</v>
      </c>
      <c r="G162" t="s">
        <v>12</v>
      </c>
      <c r="H162" t="str">
        <f>+CONCATENATE(A162," ",B162)</f>
        <v>Little Blue Truck Alice Schertle</v>
      </c>
      <c r="I162" t="str">
        <f t="shared" si="2"/>
        <v>Bajo</v>
      </c>
    </row>
    <row r="163" spans="1:9" x14ac:dyDescent="0.25">
      <c r="A163" t="s">
        <v>286</v>
      </c>
      <c r="B163" t="s">
        <v>287</v>
      </c>
      <c r="C163">
        <v>4.5</v>
      </c>
      <c r="D163">
        <v>25706</v>
      </c>
      <c r="E163">
        <v>12</v>
      </c>
      <c r="F163">
        <v>2018</v>
      </c>
      <c r="G163" t="s">
        <v>12</v>
      </c>
      <c r="H163" t="str">
        <f>+CONCATENATE(A163," ",B163)</f>
        <v>Little Fires Everywhere Celeste Ng</v>
      </c>
      <c r="I163" t="str">
        <f t="shared" si="2"/>
        <v>Bajo</v>
      </c>
    </row>
    <row r="164" spans="1:9" x14ac:dyDescent="0.25">
      <c r="A164" t="s">
        <v>288</v>
      </c>
      <c r="B164" t="s">
        <v>289</v>
      </c>
      <c r="C164">
        <v>4.5</v>
      </c>
      <c r="D164">
        <v>8491</v>
      </c>
      <c r="E164">
        <v>7</v>
      </c>
      <c r="F164">
        <v>2014</v>
      </c>
      <c r="G164" t="s">
        <v>12</v>
      </c>
      <c r="H164" t="str">
        <f>+CONCATENATE(A164," ",B164)</f>
        <v>Looking for Alaska John Green</v>
      </c>
      <c r="I164" t="str">
        <f t="shared" si="2"/>
        <v>Bajo</v>
      </c>
    </row>
    <row r="165" spans="1:9" x14ac:dyDescent="0.25">
      <c r="A165" t="s">
        <v>290</v>
      </c>
      <c r="B165" t="s">
        <v>291</v>
      </c>
      <c r="C165">
        <v>4.2</v>
      </c>
      <c r="D165">
        <v>1649</v>
      </c>
      <c r="E165">
        <v>13</v>
      </c>
      <c r="F165">
        <v>2011</v>
      </c>
      <c r="G165" t="s">
        <v>9</v>
      </c>
      <c r="H165" t="str">
        <f>+CONCATENATE(A165," ",B165)</f>
        <v>Love Wins: A Book About Heaven, Hell, and the Fate of Every Person Who Ever Lived Rob Bell</v>
      </c>
      <c r="I165" t="str">
        <f t="shared" si="2"/>
        <v>Bajo</v>
      </c>
    </row>
    <row r="166" spans="1:9" x14ac:dyDescent="0.25">
      <c r="A166" t="s">
        <v>292</v>
      </c>
      <c r="B166" t="s">
        <v>293</v>
      </c>
      <c r="C166">
        <v>4.8</v>
      </c>
      <c r="D166">
        <v>18613</v>
      </c>
      <c r="E166">
        <v>5</v>
      </c>
      <c r="F166">
        <v>2014</v>
      </c>
      <c r="G166" t="s">
        <v>12</v>
      </c>
      <c r="H166" t="str">
        <f>+CONCATENATE(A166," ",B166)</f>
        <v>Love You Forever Robert Munsch</v>
      </c>
      <c r="I166" t="str">
        <f t="shared" si="2"/>
        <v>Bajo</v>
      </c>
    </row>
    <row r="167" spans="1:9" x14ac:dyDescent="0.25">
      <c r="A167" t="s">
        <v>294</v>
      </c>
      <c r="B167" t="s">
        <v>224</v>
      </c>
      <c r="C167">
        <v>4.8</v>
      </c>
      <c r="D167">
        <v>9867</v>
      </c>
      <c r="E167">
        <v>16</v>
      </c>
      <c r="F167">
        <v>2018</v>
      </c>
      <c r="G167" t="s">
        <v>9</v>
      </c>
      <c r="H167" t="str">
        <f>+CONCATENATE(A167," ",B167)</f>
        <v>Magnolia Table: A Collection of Recipes for Gathering Joanna Gaines</v>
      </c>
      <c r="I167" t="str">
        <f t="shared" si="2"/>
        <v>Bajo</v>
      </c>
    </row>
    <row r="168" spans="1:9" x14ac:dyDescent="0.25">
      <c r="A168" t="s">
        <v>295</v>
      </c>
      <c r="B168" t="s">
        <v>64</v>
      </c>
      <c r="C168">
        <v>4.5</v>
      </c>
      <c r="D168">
        <v>1386</v>
      </c>
      <c r="E168">
        <v>20</v>
      </c>
      <c r="F168">
        <v>2014</v>
      </c>
      <c r="G168" t="s">
        <v>9</v>
      </c>
      <c r="H168" t="str">
        <f>+CONCATENATE(A168," ",B168)</f>
        <v>Make It Ahead: A Barefoot Contessa Cookbook Ina Garten</v>
      </c>
      <c r="I168" t="str">
        <f t="shared" si="2"/>
        <v>Bajo</v>
      </c>
    </row>
    <row r="169" spans="1:9" x14ac:dyDescent="0.25">
      <c r="A169" t="s">
        <v>296</v>
      </c>
      <c r="B169" t="s">
        <v>297</v>
      </c>
      <c r="C169">
        <v>4.7</v>
      </c>
      <c r="D169">
        <v>10199</v>
      </c>
      <c r="E169">
        <v>11</v>
      </c>
      <c r="F169">
        <v>2017</v>
      </c>
      <c r="G169" t="s">
        <v>9</v>
      </c>
      <c r="H169" t="str">
        <f>+CONCATENATE(A169," ",B169)</f>
        <v>Make Your Bed: Little Things That Can Change Your Life...And Maybe the World Admiral William H. McRaven</v>
      </c>
      <c r="I169" t="str">
        <f t="shared" si="2"/>
        <v>Bajo</v>
      </c>
    </row>
    <row r="170" spans="1:9" x14ac:dyDescent="0.25">
      <c r="A170" t="s">
        <v>298</v>
      </c>
      <c r="B170" t="s">
        <v>299</v>
      </c>
      <c r="C170">
        <v>4.8</v>
      </c>
      <c r="D170">
        <v>2926</v>
      </c>
      <c r="E170">
        <v>27</v>
      </c>
      <c r="F170">
        <v>2009</v>
      </c>
      <c r="G170" t="s">
        <v>9</v>
      </c>
      <c r="H170" t="str">
        <f>+CONCATENATE(A170," ",B170)</f>
        <v>Mastering the Art of French Cooking, Vol. 2 Julia Child</v>
      </c>
      <c r="I170" t="str">
        <f t="shared" si="2"/>
        <v>Bajo</v>
      </c>
    </row>
    <row r="171" spans="1:9" x14ac:dyDescent="0.25">
      <c r="A171" t="s">
        <v>300</v>
      </c>
      <c r="B171" t="s">
        <v>301</v>
      </c>
      <c r="C171">
        <v>4.7</v>
      </c>
      <c r="D171">
        <v>17739</v>
      </c>
      <c r="E171">
        <v>8</v>
      </c>
      <c r="F171">
        <v>2016</v>
      </c>
      <c r="G171" t="s">
        <v>9</v>
      </c>
      <c r="H171" t="str">
        <f>+CONCATENATE(A171," ",B171)</f>
        <v>Milk and Honey Rupi Kaur</v>
      </c>
      <c r="I171" t="str">
        <f t="shared" si="2"/>
        <v>Bajo</v>
      </c>
    </row>
    <row r="172" spans="1:9" x14ac:dyDescent="0.25">
      <c r="A172" t="s">
        <v>302</v>
      </c>
      <c r="B172" t="s">
        <v>303</v>
      </c>
      <c r="C172">
        <v>4.4000000000000004</v>
      </c>
      <c r="D172">
        <v>3113</v>
      </c>
      <c r="E172">
        <v>6</v>
      </c>
      <c r="F172">
        <v>2017</v>
      </c>
      <c r="G172" t="s">
        <v>9</v>
      </c>
      <c r="H172" t="str">
        <f>+CONCATENATE(A172," ",B172)</f>
        <v>Milk and Vine: Inspirational Quotes From Classic Vines Adam Gasiewski</v>
      </c>
      <c r="I172" t="str">
        <f t="shared" si="2"/>
        <v>Bajo</v>
      </c>
    </row>
    <row r="173" spans="1:9" x14ac:dyDescent="0.25">
      <c r="A173" t="s">
        <v>304</v>
      </c>
      <c r="B173" t="s">
        <v>305</v>
      </c>
      <c r="C173">
        <v>4.5999999999999996</v>
      </c>
      <c r="D173">
        <v>5542</v>
      </c>
      <c r="E173">
        <v>10</v>
      </c>
      <c r="F173">
        <v>2014</v>
      </c>
      <c r="G173" t="s">
        <v>9</v>
      </c>
      <c r="H173" t="str">
        <f>+CONCATENATE(A173," ",B173)</f>
        <v>Mindset: The New Psychology of Success Carol S. Dweck</v>
      </c>
      <c r="I173" t="str">
        <f t="shared" si="2"/>
        <v>Bajo</v>
      </c>
    </row>
    <row r="174" spans="1:9" x14ac:dyDescent="0.25">
      <c r="A174" t="s">
        <v>306</v>
      </c>
      <c r="B174" t="s">
        <v>88</v>
      </c>
      <c r="C174">
        <v>4.5</v>
      </c>
      <c r="D174">
        <v>26741</v>
      </c>
      <c r="E174">
        <v>8</v>
      </c>
      <c r="F174">
        <v>2010</v>
      </c>
      <c r="G174" t="s">
        <v>12</v>
      </c>
      <c r="H174" t="str">
        <f>+CONCATENATE(A174," ",B174)</f>
        <v>Mockingjay (The Hunger Games) Suzanne Collins</v>
      </c>
      <c r="I174" t="str">
        <f t="shared" si="2"/>
        <v>Bajo</v>
      </c>
    </row>
    <row r="175" spans="1:9" x14ac:dyDescent="0.25">
      <c r="A175" t="s">
        <v>307</v>
      </c>
      <c r="B175" t="s">
        <v>308</v>
      </c>
      <c r="C175">
        <v>4.8</v>
      </c>
      <c r="D175">
        <v>5347</v>
      </c>
      <c r="E175">
        <v>16</v>
      </c>
      <c r="F175">
        <v>2019</v>
      </c>
      <c r="G175" t="s">
        <v>9</v>
      </c>
      <c r="H175" t="str">
        <f>+CONCATENATE(A175," ",B175)</f>
        <v>National Geographic Kids Why?: Over 1,111 Answers to Everything Crispin Boyer</v>
      </c>
      <c r="I175" t="str">
        <f t="shared" si="2"/>
        <v>Bajo</v>
      </c>
    </row>
    <row r="176" spans="1:9" x14ac:dyDescent="0.25">
      <c r="A176" t="s">
        <v>309</v>
      </c>
      <c r="B176" t="s">
        <v>310</v>
      </c>
      <c r="C176">
        <v>4.8</v>
      </c>
      <c r="D176">
        <v>7866</v>
      </c>
      <c r="E176">
        <v>11</v>
      </c>
      <c r="F176">
        <v>2019</v>
      </c>
      <c r="G176" t="s">
        <v>9</v>
      </c>
      <c r="H176" t="str">
        <f>+CONCATENATE(A176," ",B176)</f>
        <v>National Geographic Little Kids First Big Book of Why (National Geographic Little Kids First Big Books) Amy Shields</v>
      </c>
      <c r="I176" t="str">
        <f t="shared" si="2"/>
        <v>Bajo</v>
      </c>
    </row>
    <row r="177" spans="1:9" x14ac:dyDescent="0.25">
      <c r="A177" t="s">
        <v>311</v>
      </c>
      <c r="B177" t="s">
        <v>75</v>
      </c>
      <c r="C177">
        <v>4.5999999999999996</v>
      </c>
      <c r="D177">
        <v>5680</v>
      </c>
      <c r="E177">
        <v>10</v>
      </c>
      <c r="F177">
        <v>2009</v>
      </c>
      <c r="G177" t="s">
        <v>12</v>
      </c>
      <c r="H177" t="str">
        <f>+CONCATENATE(A177," ",B177)</f>
        <v>New Moon (The Twilight Saga) Stephenie Meyer</v>
      </c>
      <c r="I177" t="str">
        <f t="shared" si="2"/>
        <v>Bajo</v>
      </c>
    </row>
    <row r="178" spans="1:9" x14ac:dyDescent="0.25">
      <c r="A178" t="s">
        <v>312</v>
      </c>
      <c r="B178" t="s">
        <v>313</v>
      </c>
      <c r="C178">
        <v>4.7</v>
      </c>
      <c r="D178">
        <v>5178</v>
      </c>
      <c r="E178">
        <v>9</v>
      </c>
      <c r="F178">
        <v>2016</v>
      </c>
      <c r="G178" t="s">
        <v>9</v>
      </c>
      <c r="H178" t="str">
        <f>+CONCATENATE(A178," ",B178)</f>
        <v>Night (Night) Elie Wiesel</v>
      </c>
      <c r="I178" t="str">
        <f t="shared" si="2"/>
        <v>Bajo</v>
      </c>
    </row>
    <row r="179" spans="1:9" x14ac:dyDescent="0.25">
      <c r="A179" t="s">
        <v>314</v>
      </c>
      <c r="B179" t="s">
        <v>315</v>
      </c>
      <c r="C179">
        <v>4.5999999999999996</v>
      </c>
      <c r="D179">
        <v>8093</v>
      </c>
      <c r="E179">
        <v>14</v>
      </c>
      <c r="F179">
        <v>2012</v>
      </c>
      <c r="G179" t="s">
        <v>9</v>
      </c>
      <c r="H179" t="str">
        <f>+CONCATENATE(A179," ",B179)</f>
        <v>No Easy Day: The Autobiography of a Navy Seal: The Firsthand Account of the Mission That Killed Osama Bin Laden Mark Owen</v>
      </c>
      <c r="I179" t="str">
        <f t="shared" si="2"/>
        <v>Bajo</v>
      </c>
    </row>
    <row r="180" spans="1:9" x14ac:dyDescent="0.25">
      <c r="A180" t="s">
        <v>316</v>
      </c>
      <c r="B180" t="s">
        <v>317</v>
      </c>
      <c r="C180">
        <v>4.9000000000000004</v>
      </c>
      <c r="D180">
        <v>3192</v>
      </c>
      <c r="E180">
        <v>22</v>
      </c>
      <c r="F180">
        <v>2017</v>
      </c>
      <c r="G180" t="s">
        <v>9</v>
      </c>
      <c r="H180" t="str">
        <f>+CONCATENATE(A180," ",B180)</f>
        <v>Obama: An Intimate Portrait Pete Souza</v>
      </c>
      <c r="I180" t="str">
        <f t="shared" si="2"/>
        <v>Bajo</v>
      </c>
    </row>
    <row r="181" spans="1:9" x14ac:dyDescent="0.25">
      <c r="A181" t="s">
        <v>318</v>
      </c>
      <c r="B181" t="s">
        <v>319</v>
      </c>
      <c r="C181">
        <v>4.9000000000000004</v>
      </c>
      <c r="D181">
        <v>21834</v>
      </c>
      <c r="E181">
        <v>8</v>
      </c>
      <c r="F181">
        <v>2012</v>
      </c>
      <c r="G181" t="s">
        <v>12</v>
      </c>
      <c r="H181" t="str">
        <f>+CONCATENATE(A181," ",B181)</f>
        <v>Oh, the Places You'll Go! Dr. Seuss</v>
      </c>
      <c r="I181" t="str">
        <f t="shared" si="2"/>
        <v>Bajo</v>
      </c>
    </row>
    <row r="182" spans="1:9" x14ac:dyDescent="0.25">
      <c r="A182" t="s">
        <v>320</v>
      </c>
      <c r="B182" t="s">
        <v>80</v>
      </c>
      <c r="C182">
        <v>4.8</v>
      </c>
      <c r="D182">
        <v>6169</v>
      </c>
      <c r="E182">
        <v>7</v>
      </c>
      <c r="F182">
        <v>2015</v>
      </c>
      <c r="G182" t="s">
        <v>12</v>
      </c>
      <c r="H182" t="str">
        <f>+CONCATENATE(A182," ",B182)</f>
        <v>Old School (Diary of a Wimpy Kid #10) Jeff Kinney</v>
      </c>
      <c r="I182" t="str">
        <f t="shared" si="2"/>
        <v>Bajo</v>
      </c>
    </row>
    <row r="183" spans="1:9" x14ac:dyDescent="0.25">
      <c r="A183" t="s">
        <v>321</v>
      </c>
      <c r="B183" t="s">
        <v>322</v>
      </c>
      <c r="C183">
        <v>4.2</v>
      </c>
      <c r="D183">
        <v>4519</v>
      </c>
      <c r="E183">
        <v>12</v>
      </c>
      <c r="F183">
        <v>2009</v>
      </c>
      <c r="G183" t="s">
        <v>12</v>
      </c>
      <c r="H183" t="str">
        <f>+CONCATENATE(A183," ",B183)</f>
        <v>Olive Kitteridge Elizabeth Strout</v>
      </c>
      <c r="I183" t="str">
        <f t="shared" si="2"/>
        <v>Bajo</v>
      </c>
    </row>
    <row r="184" spans="1:9" x14ac:dyDescent="0.25">
      <c r="A184" t="s">
        <v>323</v>
      </c>
      <c r="B184" t="s">
        <v>324</v>
      </c>
      <c r="C184">
        <v>4.5999999999999996</v>
      </c>
      <c r="D184">
        <v>3163</v>
      </c>
      <c r="E184">
        <v>13</v>
      </c>
      <c r="F184">
        <v>2011</v>
      </c>
      <c r="G184" t="s">
        <v>9</v>
      </c>
      <c r="H184" t="str">
        <f>+CONCATENATE(A184," ",B184)</f>
        <v>One Thousand Gifts: A Dare to Live Fully Right Where You Are Ann Voskamp</v>
      </c>
      <c r="I184" t="str">
        <f t="shared" si="2"/>
        <v>Bajo</v>
      </c>
    </row>
    <row r="185" spans="1:9" x14ac:dyDescent="0.25">
      <c r="A185" t="s">
        <v>325</v>
      </c>
      <c r="B185" t="s">
        <v>273</v>
      </c>
      <c r="C185">
        <v>4.5</v>
      </c>
      <c r="D185">
        <v>1831</v>
      </c>
      <c r="E185">
        <v>9</v>
      </c>
      <c r="F185">
        <v>2017</v>
      </c>
      <c r="G185" t="s">
        <v>9</v>
      </c>
      <c r="H185" t="str">
        <f>+CONCATENATE(A185," ",B185)</f>
        <v>Option B: Facing Adversity, Building Resilience, and Finding Joy Sheryl Sandberg</v>
      </c>
      <c r="I185" t="str">
        <f t="shared" si="2"/>
        <v>Bajo</v>
      </c>
    </row>
    <row r="186" spans="1:9" x14ac:dyDescent="0.25">
      <c r="A186" t="s">
        <v>326</v>
      </c>
      <c r="B186" t="s">
        <v>245</v>
      </c>
      <c r="C186">
        <v>4.3</v>
      </c>
      <c r="D186">
        <v>18904</v>
      </c>
      <c r="E186">
        <v>13</v>
      </c>
      <c r="F186">
        <v>2017</v>
      </c>
      <c r="G186" t="s">
        <v>12</v>
      </c>
      <c r="H186" t="str">
        <f>+CONCATENATE(A186," ",B186)</f>
        <v>Origin: A Novel (Robert Langdon) Dan Brown</v>
      </c>
      <c r="I186" t="str">
        <f t="shared" si="2"/>
        <v>Bajo</v>
      </c>
    </row>
    <row r="187" spans="1:9" x14ac:dyDescent="0.25">
      <c r="A187" t="s">
        <v>327</v>
      </c>
      <c r="B187" t="s">
        <v>328</v>
      </c>
      <c r="C187">
        <v>4.5999999999999996</v>
      </c>
      <c r="D187">
        <v>21930</v>
      </c>
      <c r="E187">
        <v>11</v>
      </c>
      <c r="F187">
        <v>2014</v>
      </c>
      <c r="G187" t="s">
        <v>12</v>
      </c>
      <c r="H187" t="str">
        <f>+CONCATENATE(A187," ",B187)</f>
        <v>Orphan Train Christina Baker Kline</v>
      </c>
      <c r="I187" t="str">
        <f t="shared" si="2"/>
        <v>Bajo</v>
      </c>
    </row>
    <row r="188" spans="1:9" x14ac:dyDescent="0.25">
      <c r="A188" t="s">
        <v>329</v>
      </c>
      <c r="B188" t="s">
        <v>103</v>
      </c>
      <c r="C188">
        <v>4.5999999999999996</v>
      </c>
      <c r="D188">
        <v>10426</v>
      </c>
      <c r="E188">
        <v>20</v>
      </c>
      <c r="F188">
        <v>2009</v>
      </c>
      <c r="G188" t="s">
        <v>9</v>
      </c>
      <c r="H188" t="str">
        <f>+CONCATENATE(A188," ",B188)</f>
        <v>Outliers: The Story of Success Malcolm Gladwell</v>
      </c>
      <c r="I188" t="str">
        <f t="shared" si="2"/>
        <v>Bajo</v>
      </c>
    </row>
    <row r="189" spans="1:9" x14ac:dyDescent="0.25">
      <c r="A189" t="s">
        <v>330</v>
      </c>
      <c r="B189" t="s">
        <v>331</v>
      </c>
      <c r="C189">
        <v>4.7</v>
      </c>
      <c r="D189">
        <v>10820</v>
      </c>
      <c r="E189">
        <v>5</v>
      </c>
      <c r="F189">
        <v>2018</v>
      </c>
      <c r="G189" t="s">
        <v>9</v>
      </c>
      <c r="H189" t="str">
        <f>+CONCATENATE(A189," ",B189)</f>
        <v>P is for Potty! (Sesame Street) (Lift-the-Flap) Naomi Kleinberg</v>
      </c>
      <c r="I189" t="str">
        <f t="shared" si="2"/>
        <v>Bajo</v>
      </c>
    </row>
    <row r="190" spans="1:9" x14ac:dyDescent="0.25">
      <c r="A190" t="s">
        <v>332</v>
      </c>
      <c r="B190" t="s">
        <v>333</v>
      </c>
      <c r="C190">
        <v>4.8</v>
      </c>
      <c r="D190">
        <v>548</v>
      </c>
      <c r="E190">
        <v>2</v>
      </c>
      <c r="F190">
        <v>2010</v>
      </c>
      <c r="G190" t="s">
        <v>12</v>
      </c>
      <c r="H190" t="str">
        <f>+CONCATENATE(A190," ",B190)</f>
        <v>Percy Jackson and the Olympians Paperback Boxed Set (Books 1-3) Rick Riordan</v>
      </c>
      <c r="I190" t="str">
        <f t="shared" si="2"/>
        <v>Bajo</v>
      </c>
    </row>
    <row r="191" spans="1:9" x14ac:dyDescent="0.25">
      <c r="A191" t="s">
        <v>334</v>
      </c>
      <c r="B191" t="s">
        <v>335</v>
      </c>
      <c r="C191">
        <v>4.8</v>
      </c>
      <c r="D191">
        <v>16990</v>
      </c>
      <c r="E191">
        <v>27</v>
      </c>
      <c r="F191">
        <v>2017</v>
      </c>
      <c r="G191" t="s">
        <v>12</v>
      </c>
      <c r="H191" t="str">
        <f>+CONCATENATE(A191," ",B191)</f>
        <v>Player's Handbook (Dungeons &amp; Dragons) Wizards RPG Team</v>
      </c>
      <c r="I191" t="str">
        <f t="shared" si="2"/>
        <v>Bajo</v>
      </c>
    </row>
    <row r="192" spans="1:9" x14ac:dyDescent="0.25">
      <c r="A192" t="s">
        <v>336</v>
      </c>
      <c r="B192" t="s">
        <v>215</v>
      </c>
      <c r="C192">
        <v>4.7</v>
      </c>
      <c r="D192">
        <v>3503</v>
      </c>
      <c r="E192">
        <v>9</v>
      </c>
      <c r="F192">
        <v>2016</v>
      </c>
      <c r="G192" t="s">
        <v>12</v>
      </c>
      <c r="H192" t="str">
        <f>+CONCATENATE(A192," ",B192)</f>
        <v>Pokémon Deluxe Essential Handbook: The Need-to-Know Stats and Facts on Over 700 Pokémon Scholastic</v>
      </c>
      <c r="I192" t="str">
        <f t="shared" si="2"/>
        <v>Bajo</v>
      </c>
    </row>
    <row r="193" spans="1:9" x14ac:dyDescent="0.25">
      <c r="A193" t="s">
        <v>337</v>
      </c>
      <c r="B193" t="s">
        <v>338</v>
      </c>
      <c r="C193">
        <v>4.3</v>
      </c>
      <c r="D193">
        <v>13616</v>
      </c>
      <c r="E193">
        <v>10</v>
      </c>
      <c r="F193">
        <v>2012</v>
      </c>
      <c r="G193" t="s">
        <v>9</v>
      </c>
      <c r="H193" t="str">
        <f>+CONCATENATE(A193," ",B193)</f>
        <v>Proof of Heaven: A Neurosurgeon's Journey into the Afterlife Eben Alexander</v>
      </c>
      <c r="I193" t="str">
        <f t="shared" si="2"/>
        <v>Bajo</v>
      </c>
    </row>
    <row r="194" spans="1:9" x14ac:dyDescent="0.25">
      <c r="A194" t="s">
        <v>339</v>
      </c>
      <c r="B194" t="s">
        <v>340</v>
      </c>
      <c r="C194">
        <v>4.5</v>
      </c>
      <c r="D194">
        <v>8580</v>
      </c>
      <c r="E194">
        <v>46</v>
      </c>
      <c r="F194">
        <v>2009</v>
      </c>
      <c r="G194" t="s">
        <v>9</v>
      </c>
      <c r="H194" t="str">
        <f>+CONCATENATE(A194," ",B194)</f>
        <v>Publication Manual of the American Psychological Association, 6th Edition American Psychological Association</v>
      </c>
      <c r="I194" t="str">
        <f t="shared" si="2"/>
        <v>Medio</v>
      </c>
    </row>
    <row r="195" spans="1:9" x14ac:dyDescent="0.25">
      <c r="A195" t="s">
        <v>341</v>
      </c>
      <c r="B195" t="s">
        <v>342</v>
      </c>
      <c r="C195">
        <v>4.8</v>
      </c>
      <c r="D195">
        <v>4757</v>
      </c>
      <c r="E195">
        <v>4</v>
      </c>
      <c r="F195">
        <v>2017</v>
      </c>
      <c r="G195" t="s">
        <v>12</v>
      </c>
      <c r="H195" t="str">
        <f>+CONCATENATE(A195," ",B195)</f>
        <v>Puppy Birthday to You! (Paw Patrol) (Little Golden Book) Golden Books</v>
      </c>
      <c r="I195" t="str">
        <f t="shared" si="2"/>
        <v>Bajo</v>
      </c>
    </row>
    <row r="196" spans="1:9" x14ac:dyDescent="0.25">
      <c r="A196" t="s">
        <v>343</v>
      </c>
      <c r="B196" t="s">
        <v>344</v>
      </c>
      <c r="C196">
        <v>4.5999999999999996</v>
      </c>
      <c r="D196">
        <v>10009</v>
      </c>
      <c r="E196">
        <v>20</v>
      </c>
      <c r="F196">
        <v>2012</v>
      </c>
      <c r="G196" t="s">
        <v>9</v>
      </c>
      <c r="H196" t="str">
        <f>+CONCATENATE(A196," ",B196)</f>
        <v>Quiet: The Power of Introverts in a World That Can't Stop Talking Susan Cain</v>
      </c>
      <c r="I196" t="str">
        <f t="shared" ref="I196:I259" si="3">+IF(E196&lt;=35,"Bajo",IF(E196&lt;=70,"Medio","Alto"))</f>
        <v>Bajo</v>
      </c>
    </row>
    <row r="197" spans="1:9" x14ac:dyDescent="0.25">
      <c r="A197" t="s">
        <v>345</v>
      </c>
      <c r="B197" t="s">
        <v>346</v>
      </c>
      <c r="C197">
        <v>4.7</v>
      </c>
      <c r="D197">
        <v>1985</v>
      </c>
      <c r="E197">
        <v>9</v>
      </c>
      <c r="F197">
        <v>2010</v>
      </c>
      <c r="G197" t="s">
        <v>9</v>
      </c>
      <c r="H197" t="str">
        <f>+CONCATENATE(A197," ",B197)</f>
        <v>Radical: Taking Back Your Faith from the American Dream David Platt</v>
      </c>
      <c r="I197" t="str">
        <f t="shared" si="3"/>
        <v>Bajo</v>
      </c>
    </row>
    <row r="198" spans="1:9" x14ac:dyDescent="0.25">
      <c r="A198" t="s">
        <v>347</v>
      </c>
      <c r="B198" t="s">
        <v>348</v>
      </c>
      <c r="C198">
        <v>4.5999999999999996</v>
      </c>
      <c r="D198">
        <v>22536</v>
      </c>
      <c r="E198">
        <v>12</v>
      </c>
      <c r="F198">
        <v>2017</v>
      </c>
      <c r="G198" t="s">
        <v>12</v>
      </c>
      <c r="H198" t="str">
        <f>+CONCATENATE(A198," ",B198)</f>
        <v>Ready Player One: A Novel Ernest Cline</v>
      </c>
      <c r="I198" t="str">
        <f t="shared" si="3"/>
        <v>Bajo</v>
      </c>
    </row>
    <row r="199" spans="1:9" x14ac:dyDescent="0.25">
      <c r="A199" t="s">
        <v>349</v>
      </c>
      <c r="B199" t="s">
        <v>350</v>
      </c>
      <c r="C199">
        <v>4.9000000000000004</v>
      </c>
      <c r="D199">
        <v>7150</v>
      </c>
      <c r="E199">
        <v>12</v>
      </c>
      <c r="F199">
        <v>2013</v>
      </c>
      <c r="G199" t="s">
        <v>12</v>
      </c>
      <c r="H199" t="str">
        <f>+CONCATENATE(A199," ",B199)</f>
        <v>Rush Revere and the Brave Pilgrims: Time-Travel Adventures with Exceptional Americans (1) Rush Limbaugh</v>
      </c>
      <c r="I199" t="str">
        <f t="shared" si="3"/>
        <v>Bajo</v>
      </c>
    </row>
    <row r="200" spans="1:9" x14ac:dyDescent="0.25">
      <c r="A200" t="s">
        <v>351</v>
      </c>
      <c r="B200" t="s">
        <v>350</v>
      </c>
      <c r="C200">
        <v>4.9000000000000004</v>
      </c>
      <c r="D200">
        <v>3836</v>
      </c>
      <c r="E200">
        <v>12</v>
      </c>
      <c r="F200">
        <v>2014</v>
      </c>
      <c r="G200" t="s">
        <v>12</v>
      </c>
      <c r="H200" t="str">
        <f>+CONCATENATE(A200," ",B200)</f>
        <v>Rush Revere and the First Patriots: Time-Travel Adventures With Exceptional Americans (2) Rush Limbaugh</v>
      </c>
      <c r="I200" t="str">
        <f t="shared" si="3"/>
        <v>Bajo</v>
      </c>
    </row>
    <row r="201" spans="1:9" x14ac:dyDescent="0.25">
      <c r="A201" t="s">
        <v>352</v>
      </c>
      <c r="B201" t="s">
        <v>353</v>
      </c>
      <c r="C201">
        <v>4.8</v>
      </c>
      <c r="D201">
        <v>7802</v>
      </c>
      <c r="E201">
        <v>20</v>
      </c>
      <c r="F201">
        <v>2018</v>
      </c>
      <c r="G201" t="s">
        <v>9</v>
      </c>
      <c r="H201" t="str">
        <f>+CONCATENATE(A201," ",B201)</f>
        <v>Salt, Fat, Acid, Heat: Mastering the Elements of Good Cooking Samin Nosrat</v>
      </c>
      <c r="I201" t="str">
        <f t="shared" si="3"/>
        <v>Bajo</v>
      </c>
    </row>
    <row r="202" spans="1:9" x14ac:dyDescent="0.25">
      <c r="A202" t="s">
        <v>354</v>
      </c>
      <c r="B202" t="s">
        <v>355</v>
      </c>
      <c r="C202">
        <v>4.5999999999999996</v>
      </c>
      <c r="D202">
        <v>3619</v>
      </c>
      <c r="E202">
        <v>10</v>
      </c>
      <c r="F202">
        <v>2010</v>
      </c>
      <c r="G202" t="s">
        <v>12</v>
      </c>
      <c r="H202" t="str">
        <f>+CONCATENATE(A202," ",B202)</f>
        <v>Sarah's Key Tatiana de Rosnay</v>
      </c>
      <c r="I202" t="str">
        <f t="shared" si="3"/>
        <v>Bajo</v>
      </c>
    </row>
    <row r="203" spans="1:9" x14ac:dyDescent="0.25">
      <c r="A203" t="s">
        <v>356</v>
      </c>
      <c r="B203" t="s">
        <v>357</v>
      </c>
      <c r="C203">
        <v>4.8</v>
      </c>
      <c r="D203">
        <v>23047</v>
      </c>
      <c r="E203">
        <v>6</v>
      </c>
      <c r="F203">
        <v>2018</v>
      </c>
      <c r="G203" t="s">
        <v>9</v>
      </c>
      <c r="H203" t="str">
        <f>+CONCATENATE(A203," ",B203)</f>
        <v>School Zone - Big Preschool Workbook - Ages 4 and Up, Colors, Shapes, Numbers 1-10, Alphabet, Pre-Writing, Pre-Reading… School Zone</v>
      </c>
      <c r="I203" t="str">
        <f t="shared" si="3"/>
        <v>Bajo</v>
      </c>
    </row>
    <row r="204" spans="1:9" x14ac:dyDescent="0.25">
      <c r="A204" t="s">
        <v>358</v>
      </c>
      <c r="B204" t="s">
        <v>149</v>
      </c>
      <c r="C204">
        <v>4.7</v>
      </c>
      <c r="D204">
        <v>9366</v>
      </c>
      <c r="E204">
        <v>9</v>
      </c>
      <c r="F204">
        <v>2015</v>
      </c>
      <c r="G204" t="s">
        <v>9</v>
      </c>
      <c r="H204" t="str">
        <f>+CONCATENATE(A204," ",B204)</f>
        <v>Secret Garden: An Inky Treasure Hunt and Coloring Book (For Adults, mindfulness coloring) Johanna Basford</v>
      </c>
      <c r="I204" t="str">
        <f t="shared" si="3"/>
        <v>Bajo</v>
      </c>
    </row>
    <row r="205" spans="1:9" x14ac:dyDescent="0.25">
      <c r="A205" t="s">
        <v>359</v>
      </c>
      <c r="B205" t="s">
        <v>360</v>
      </c>
      <c r="C205">
        <v>4.7</v>
      </c>
      <c r="D205">
        <v>1265</v>
      </c>
      <c r="E205">
        <v>11</v>
      </c>
      <c r="F205">
        <v>2010</v>
      </c>
      <c r="G205" t="s">
        <v>9</v>
      </c>
      <c r="H205" t="str">
        <f>+CONCATENATE(A205," ",B205)</f>
        <v>Sh*t My Dad Says Justin Halpern</v>
      </c>
      <c r="I205" t="str">
        <f t="shared" si="3"/>
        <v>Bajo</v>
      </c>
    </row>
    <row r="206" spans="1:9" x14ac:dyDescent="0.25">
      <c r="A206" t="s">
        <v>361</v>
      </c>
      <c r="B206" t="s">
        <v>362</v>
      </c>
      <c r="C206">
        <v>4.8</v>
      </c>
      <c r="D206">
        <v>3923</v>
      </c>
      <c r="E206">
        <v>16</v>
      </c>
      <c r="F206">
        <v>2018</v>
      </c>
      <c r="G206" t="s">
        <v>9</v>
      </c>
      <c r="H206" t="str">
        <f>+CONCATENATE(A206," ",B206)</f>
        <v>Ship of Fools: How a Selfish Ruling Class Is Bringing America to the Brink of Revolution Tucker Carlson</v>
      </c>
      <c r="I206" t="str">
        <f t="shared" si="3"/>
        <v>Bajo</v>
      </c>
    </row>
    <row r="207" spans="1:9" x14ac:dyDescent="0.25">
      <c r="A207" t="s">
        <v>363</v>
      </c>
      <c r="B207" t="s">
        <v>364</v>
      </c>
      <c r="C207">
        <v>4.0999999999999996</v>
      </c>
      <c r="D207">
        <v>2272</v>
      </c>
      <c r="E207">
        <v>6</v>
      </c>
      <c r="F207">
        <v>2013</v>
      </c>
      <c r="G207" t="s">
        <v>9</v>
      </c>
      <c r="H207" t="str">
        <f>+CONCATENATE(A207," ",B207)</f>
        <v>Shred: The Revolutionary Diet: 6 Weeks 4 Inches 2 Sizes Ian K. Smith M.D.</v>
      </c>
      <c r="I207" t="str">
        <f t="shared" si="3"/>
        <v>Bajo</v>
      </c>
    </row>
    <row r="208" spans="1:9" x14ac:dyDescent="0.25">
      <c r="A208" t="s">
        <v>365</v>
      </c>
      <c r="B208" t="s">
        <v>105</v>
      </c>
      <c r="C208">
        <v>4.7</v>
      </c>
      <c r="D208">
        <v>973</v>
      </c>
      <c r="E208">
        <v>25</v>
      </c>
      <c r="F208">
        <v>2009</v>
      </c>
      <c r="G208" t="s">
        <v>12</v>
      </c>
      <c r="H208" t="str">
        <f>+CONCATENATE(A208," ",B208)</f>
        <v>Sookie Stackhouse Charlaine Harris</v>
      </c>
      <c r="I208" t="str">
        <f t="shared" si="3"/>
        <v>Bajo</v>
      </c>
    </row>
    <row r="209" spans="1:9" x14ac:dyDescent="0.25">
      <c r="A209" t="s">
        <v>366</v>
      </c>
      <c r="B209" t="s">
        <v>124</v>
      </c>
      <c r="C209">
        <v>4.5999999999999996</v>
      </c>
      <c r="D209">
        <v>220</v>
      </c>
      <c r="E209">
        <v>17</v>
      </c>
      <c r="F209">
        <v>2013</v>
      </c>
      <c r="G209" t="s">
        <v>9</v>
      </c>
      <c r="H209" t="str">
        <f>+CONCATENATE(A209," ",B209)</f>
        <v>Soul Healing Miracles: Ancient and New Sacred Wisdom, Knowledge, and Practical Techniques for Healing the Spiritual… Zhi Gang Sha</v>
      </c>
      <c r="I209" t="str">
        <f t="shared" si="3"/>
        <v>Bajo</v>
      </c>
    </row>
    <row r="210" spans="1:9" x14ac:dyDescent="0.25">
      <c r="A210" t="s">
        <v>367</v>
      </c>
      <c r="B210" t="s">
        <v>275</v>
      </c>
      <c r="C210">
        <v>4.5999999999999996</v>
      </c>
      <c r="D210">
        <v>7827</v>
      </c>
      <c r="E210">
        <v>20</v>
      </c>
      <c r="F210">
        <v>2011</v>
      </c>
      <c r="G210" t="s">
        <v>9</v>
      </c>
      <c r="H210" t="str">
        <f>+CONCATENATE(A210," ",B210)</f>
        <v>Steve Jobs Walter Isaacson</v>
      </c>
      <c r="I210" t="str">
        <f t="shared" si="3"/>
        <v>Bajo</v>
      </c>
    </row>
    <row r="211" spans="1:9" x14ac:dyDescent="0.25">
      <c r="A211" t="s">
        <v>368</v>
      </c>
      <c r="B211" t="s">
        <v>369</v>
      </c>
      <c r="C211">
        <v>4.9000000000000004</v>
      </c>
      <c r="D211">
        <v>9382</v>
      </c>
      <c r="E211">
        <v>6</v>
      </c>
      <c r="F211">
        <v>2019</v>
      </c>
      <c r="G211" t="s">
        <v>12</v>
      </c>
      <c r="H211" t="str">
        <f>+CONCATENATE(A211," ",B211)</f>
        <v>Strange Planet (Strange Planet Series) Nathan W. Pyle</v>
      </c>
      <c r="I211" t="str">
        <f t="shared" si="3"/>
        <v>Bajo</v>
      </c>
    </row>
    <row r="212" spans="1:9" x14ac:dyDescent="0.25">
      <c r="A212" t="s">
        <v>370</v>
      </c>
      <c r="B212" t="s">
        <v>371</v>
      </c>
      <c r="C212">
        <v>4</v>
      </c>
      <c r="D212">
        <v>5069</v>
      </c>
      <c r="E212">
        <v>17</v>
      </c>
      <c r="F212">
        <v>2009</v>
      </c>
      <c r="G212" t="s">
        <v>9</v>
      </c>
      <c r="H212" t="str">
        <f>+CONCATENATE(A212," ",B212)</f>
        <v>StrengthsFinder 2.0 Gallup</v>
      </c>
      <c r="I212" t="str">
        <f t="shared" si="3"/>
        <v>Bajo</v>
      </c>
    </row>
    <row r="213" spans="1:9" x14ac:dyDescent="0.25">
      <c r="A213" t="s">
        <v>372</v>
      </c>
      <c r="B213" t="s">
        <v>373</v>
      </c>
      <c r="C213">
        <v>4.5</v>
      </c>
      <c r="D213">
        <v>1583</v>
      </c>
      <c r="E213">
        <v>18</v>
      </c>
      <c r="F213">
        <v>2009</v>
      </c>
      <c r="G213" t="s">
        <v>9</v>
      </c>
      <c r="H213" t="str">
        <f>+CONCATENATE(A213," ",B213)</f>
        <v>Super Freakonomics: Global Cooling, Patriotic Prostitutes, and Why Suicide Bombers Should Buy Life Insurance Steven D. Levitt</v>
      </c>
      <c r="I213" t="str">
        <f t="shared" si="3"/>
        <v>Bajo</v>
      </c>
    </row>
    <row r="214" spans="1:9" x14ac:dyDescent="0.25">
      <c r="A214" t="s">
        <v>374</v>
      </c>
      <c r="B214" t="s">
        <v>375</v>
      </c>
      <c r="C214">
        <v>4.5999999999999996</v>
      </c>
      <c r="D214">
        <v>1907</v>
      </c>
      <c r="E214">
        <v>13</v>
      </c>
      <c r="F214">
        <v>2010</v>
      </c>
      <c r="G214" t="s">
        <v>9</v>
      </c>
      <c r="H214" t="str">
        <f>+CONCATENATE(A214," ",B214)</f>
        <v>Switch: How to Change Things When Change Is Hard Chip Heath</v>
      </c>
      <c r="I214" t="str">
        <f t="shared" si="3"/>
        <v>Bajo</v>
      </c>
    </row>
    <row r="215" spans="1:9" x14ac:dyDescent="0.25">
      <c r="A215" t="s">
        <v>376</v>
      </c>
      <c r="B215" t="s">
        <v>377</v>
      </c>
      <c r="C215">
        <v>4.5</v>
      </c>
      <c r="D215">
        <v>23114</v>
      </c>
      <c r="E215">
        <v>18</v>
      </c>
      <c r="F215">
        <v>2013</v>
      </c>
      <c r="G215" t="s">
        <v>12</v>
      </c>
      <c r="H215" t="str">
        <f>+CONCATENATE(A215," ",B215)</f>
        <v>Sycamore Row (Jake Brigance) John Grisham</v>
      </c>
      <c r="I215" t="str">
        <f t="shared" si="3"/>
        <v>Bajo</v>
      </c>
    </row>
    <row r="216" spans="1:9" x14ac:dyDescent="0.25">
      <c r="A216" t="s">
        <v>378</v>
      </c>
      <c r="B216" t="s">
        <v>379</v>
      </c>
      <c r="C216">
        <v>4.4000000000000004</v>
      </c>
      <c r="D216">
        <v>637</v>
      </c>
      <c r="E216">
        <v>20</v>
      </c>
      <c r="F216">
        <v>2010</v>
      </c>
      <c r="G216" t="s">
        <v>9</v>
      </c>
      <c r="H216" t="str">
        <f>+CONCATENATE(A216," ",B216)</f>
        <v>Teach Like a Champion: 49 Techniques that Put Students on the Path to College Doug Lemov</v>
      </c>
      <c r="I216" t="str">
        <f t="shared" si="3"/>
        <v>Bajo</v>
      </c>
    </row>
    <row r="217" spans="1:9" x14ac:dyDescent="0.25">
      <c r="A217" t="s">
        <v>380</v>
      </c>
      <c r="B217" t="s">
        <v>381</v>
      </c>
      <c r="C217">
        <v>4.3</v>
      </c>
      <c r="D217">
        <v>2314</v>
      </c>
      <c r="E217">
        <v>22</v>
      </c>
      <c r="F217">
        <v>2011</v>
      </c>
      <c r="G217" t="s">
        <v>9</v>
      </c>
      <c r="H217" t="str">
        <f>+CONCATENATE(A217," ",B217)</f>
        <v>The 17 Day Diet: A Doctor's Plan Designed for Rapid Results Mike Moreno</v>
      </c>
      <c r="I217" t="str">
        <f t="shared" si="3"/>
        <v>Bajo</v>
      </c>
    </row>
    <row r="218" spans="1:9" x14ac:dyDescent="0.25">
      <c r="A218" t="s">
        <v>382</v>
      </c>
      <c r="B218" t="s">
        <v>383</v>
      </c>
      <c r="C218">
        <v>4.3</v>
      </c>
      <c r="D218">
        <v>4587</v>
      </c>
      <c r="E218">
        <v>21</v>
      </c>
      <c r="F218">
        <v>2011</v>
      </c>
      <c r="G218" t="s">
        <v>9</v>
      </c>
      <c r="H218" t="str">
        <f>+CONCATENATE(A218," ",B218)</f>
        <v>The 4 Hour Body: An Uncommon Guide to Rapid Fat Loss, Incredible Sex and Becoming Superhuman Timothy Ferriss</v>
      </c>
      <c r="I218" t="str">
        <f t="shared" si="3"/>
        <v>Bajo</v>
      </c>
    </row>
    <row r="219" spans="1:9" x14ac:dyDescent="0.25">
      <c r="A219" t="s">
        <v>384</v>
      </c>
      <c r="B219" t="s">
        <v>385</v>
      </c>
      <c r="C219">
        <v>4.7</v>
      </c>
      <c r="D219">
        <v>3477</v>
      </c>
      <c r="E219">
        <v>28</v>
      </c>
      <c r="F219">
        <v>2010</v>
      </c>
      <c r="G219" t="s">
        <v>9</v>
      </c>
      <c r="H219" t="str">
        <f>+CONCATENATE(A219," ",B219)</f>
        <v>The 5 Love Languages: The Secret to Love That Lasts Gary Chapman</v>
      </c>
      <c r="I219" t="str">
        <f t="shared" si="3"/>
        <v>Bajo</v>
      </c>
    </row>
    <row r="220" spans="1:9" x14ac:dyDescent="0.25">
      <c r="A220" t="s">
        <v>386</v>
      </c>
      <c r="B220" t="s">
        <v>387</v>
      </c>
      <c r="C220">
        <v>4.8</v>
      </c>
      <c r="D220">
        <v>1680</v>
      </c>
      <c r="E220">
        <v>12</v>
      </c>
      <c r="F220">
        <v>2009</v>
      </c>
      <c r="G220" t="s">
        <v>9</v>
      </c>
      <c r="H220" t="str">
        <f>+CONCATENATE(A220," ",B220)</f>
        <v>The 5000 Year Leap W. Cleon Skousen</v>
      </c>
      <c r="I220" t="str">
        <f t="shared" si="3"/>
        <v>Bajo</v>
      </c>
    </row>
    <row r="221" spans="1:9" x14ac:dyDescent="0.25">
      <c r="A221" t="s">
        <v>388</v>
      </c>
      <c r="B221" t="s">
        <v>389</v>
      </c>
      <c r="C221">
        <v>4.5999999999999996</v>
      </c>
      <c r="D221">
        <v>9325</v>
      </c>
      <c r="E221">
        <v>24</v>
      </c>
      <c r="F221">
        <v>2009</v>
      </c>
      <c r="G221" t="s">
        <v>9</v>
      </c>
      <c r="H221" t="str">
        <f>+CONCATENATE(A221," ",B221)</f>
        <v>The 7 Habits of Highly Effective People: Powerful Lessons in Personal Change Stephen R. Covey</v>
      </c>
      <c r="I221" t="str">
        <f t="shared" si="3"/>
        <v>Bajo</v>
      </c>
    </row>
    <row r="222" spans="1:9" x14ac:dyDescent="0.25">
      <c r="A222" t="s">
        <v>390</v>
      </c>
      <c r="B222" t="s">
        <v>391</v>
      </c>
      <c r="C222">
        <v>4.7</v>
      </c>
      <c r="D222">
        <v>35799</v>
      </c>
      <c r="E222">
        <v>39</v>
      </c>
      <c r="F222">
        <v>2014</v>
      </c>
      <c r="G222" t="s">
        <v>12</v>
      </c>
      <c r="H222" t="str">
        <f>+CONCATENATE(A222," ",B222)</f>
        <v>The Alchemist Paulo Coelho</v>
      </c>
      <c r="I222" t="str">
        <f t="shared" si="3"/>
        <v>Medio</v>
      </c>
    </row>
    <row r="223" spans="1:9" x14ac:dyDescent="0.25">
      <c r="A223" t="s">
        <v>392</v>
      </c>
      <c r="B223" t="s">
        <v>393</v>
      </c>
      <c r="C223">
        <v>4.5999999999999996</v>
      </c>
      <c r="D223">
        <v>2580</v>
      </c>
      <c r="E223">
        <v>9</v>
      </c>
      <c r="F223">
        <v>2012</v>
      </c>
      <c r="G223" t="s">
        <v>9</v>
      </c>
      <c r="H223" t="str">
        <f>+CONCATENATE(A223," ",B223)</f>
        <v>The Amateur Edward Klein</v>
      </c>
      <c r="I223" t="str">
        <f t="shared" si="3"/>
        <v>Bajo</v>
      </c>
    </row>
    <row r="224" spans="1:9" x14ac:dyDescent="0.25">
      <c r="A224" t="s">
        <v>394</v>
      </c>
      <c r="B224" t="s">
        <v>395</v>
      </c>
      <c r="C224">
        <v>4.7</v>
      </c>
      <c r="D224">
        <v>11813</v>
      </c>
      <c r="E224">
        <v>10</v>
      </c>
      <c r="F224">
        <v>2010</v>
      </c>
      <c r="G224" t="s">
        <v>12</v>
      </c>
      <c r="H224" t="str">
        <f>+CONCATENATE(A224," ",B224)</f>
        <v>The Art of Racing in the Rain: A Novel Garth Stein</v>
      </c>
      <c r="I224" t="str">
        <f t="shared" si="3"/>
        <v>Bajo</v>
      </c>
    </row>
    <row r="225" spans="1:9" x14ac:dyDescent="0.25">
      <c r="A225" t="s">
        <v>396</v>
      </c>
      <c r="B225" t="s">
        <v>397</v>
      </c>
      <c r="C225">
        <v>4.7</v>
      </c>
      <c r="D225">
        <v>3536</v>
      </c>
      <c r="E225">
        <v>17</v>
      </c>
      <c r="F225">
        <v>2010</v>
      </c>
      <c r="G225" t="s">
        <v>9</v>
      </c>
      <c r="H225" t="str">
        <f>+CONCATENATE(A225," ",B225)</f>
        <v>The Big Short: Inside the Doomsday Machine Michael Lewis</v>
      </c>
      <c r="I225" t="str">
        <f t="shared" si="3"/>
        <v>Bajo</v>
      </c>
    </row>
    <row r="226" spans="1:9" x14ac:dyDescent="0.25">
      <c r="A226" t="s">
        <v>398</v>
      </c>
      <c r="B226" t="s">
        <v>333</v>
      </c>
      <c r="C226">
        <v>4.8</v>
      </c>
      <c r="D226">
        <v>6600</v>
      </c>
      <c r="E226">
        <v>11</v>
      </c>
      <c r="F226">
        <v>2014</v>
      </c>
      <c r="G226" t="s">
        <v>12</v>
      </c>
      <c r="H226" t="str">
        <f>+CONCATENATE(A226," ",B226)</f>
        <v>The Blood of Olympus (The Heroes of Olympus (5)) Rick Riordan</v>
      </c>
      <c r="I226" t="str">
        <f t="shared" si="3"/>
        <v>Bajo</v>
      </c>
    </row>
    <row r="227" spans="1:9" x14ac:dyDescent="0.25">
      <c r="A227" t="s">
        <v>399</v>
      </c>
      <c r="B227" t="s">
        <v>400</v>
      </c>
      <c r="C227">
        <v>4.2</v>
      </c>
      <c r="D227">
        <v>1789</v>
      </c>
      <c r="E227">
        <v>14</v>
      </c>
      <c r="F227">
        <v>2012</v>
      </c>
      <c r="G227" t="s">
        <v>9</v>
      </c>
      <c r="H227" t="str">
        <f>+CONCATENATE(A227," ",B227)</f>
        <v>The Blood Sugar Solution: The UltraHealthy Program for Losing Weight, Preventing Disease, and Feeling Great Now! Mark Hyman M.D.</v>
      </c>
      <c r="I227" t="str">
        <f t="shared" si="3"/>
        <v>Bajo</v>
      </c>
    </row>
    <row r="228" spans="1:9" x14ac:dyDescent="0.25">
      <c r="A228" t="s">
        <v>401</v>
      </c>
      <c r="B228" t="s">
        <v>402</v>
      </c>
      <c r="C228">
        <v>4.8</v>
      </c>
      <c r="D228">
        <v>12361</v>
      </c>
      <c r="E228">
        <v>12</v>
      </c>
      <c r="F228">
        <v>2019</v>
      </c>
      <c r="G228" t="s">
        <v>9</v>
      </c>
      <c r="H228" t="str">
        <f>+CONCATENATE(A228," ",B228)</f>
        <v>The Body Keeps the Score: Brain, Mind, and Body in the Healing of Trauma Bessel van der Kolk M.D.</v>
      </c>
      <c r="I228" t="str">
        <f t="shared" si="3"/>
        <v>Bajo</v>
      </c>
    </row>
    <row r="229" spans="1:9" x14ac:dyDescent="0.25">
      <c r="A229" t="s">
        <v>403</v>
      </c>
      <c r="B229" t="s">
        <v>404</v>
      </c>
      <c r="C229">
        <v>4.7</v>
      </c>
      <c r="D229">
        <v>858</v>
      </c>
      <c r="E229">
        <v>53</v>
      </c>
      <c r="F229">
        <v>2009</v>
      </c>
      <c r="G229" t="s">
        <v>9</v>
      </c>
      <c r="H229" t="str">
        <f>+CONCATENATE(A229," ",B229)</f>
        <v>The Book of Basketball: The NBA According to The Sports Guy Bill Simmons</v>
      </c>
      <c r="I229" t="str">
        <f t="shared" si="3"/>
        <v>Medio</v>
      </c>
    </row>
    <row r="230" spans="1:9" x14ac:dyDescent="0.25">
      <c r="A230" t="s">
        <v>405</v>
      </c>
      <c r="B230" t="s">
        <v>406</v>
      </c>
      <c r="C230">
        <v>4.5999999999999996</v>
      </c>
      <c r="D230">
        <v>23148</v>
      </c>
      <c r="E230">
        <v>6</v>
      </c>
      <c r="F230">
        <v>2013</v>
      </c>
      <c r="G230" t="s">
        <v>12</v>
      </c>
      <c r="H230" t="str">
        <f>+CONCATENATE(A230," ",B230)</f>
        <v>The Book Thief Markus Zusak</v>
      </c>
      <c r="I230" t="str">
        <f t="shared" si="3"/>
        <v>Bajo</v>
      </c>
    </row>
    <row r="231" spans="1:9" x14ac:dyDescent="0.25">
      <c r="A231" t="s">
        <v>407</v>
      </c>
      <c r="B231" t="s">
        <v>408</v>
      </c>
      <c r="C231">
        <v>4.8</v>
      </c>
      <c r="D231">
        <v>8081</v>
      </c>
      <c r="E231">
        <v>8</v>
      </c>
      <c r="F231">
        <v>2014</v>
      </c>
      <c r="G231" t="s">
        <v>12</v>
      </c>
      <c r="H231" t="str">
        <f>+CONCATENATE(A231," ",B231)</f>
        <v>The Book with No Pictures B. J. Novak</v>
      </c>
      <c r="I231" t="str">
        <f t="shared" si="3"/>
        <v>Bajo</v>
      </c>
    </row>
    <row r="232" spans="1:9" x14ac:dyDescent="0.25">
      <c r="A232" t="s">
        <v>409</v>
      </c>
      <c r="B232" t="s">
        <v>410</v>
      </c>
      <c r="C232">
        <v>4.8</v>
      </c>
      <c r="D232">
        <v>23358</v>
      </c>
      <c r="E232">
        <v>12</v>
      </c>
      <c r="F232">
        <v>2014</v>
      </c>
      <c r="G232" t="s">
        <v>9</v>
      </c>
      <c r="H232" t="str">
        <f>+CONCATENATE(A232," ",B232)</f>
        <v>The Boys in the Boat: Nine Americans and Their Epic Quest for Gold at the 1936 Berlin Olympics Daniel James Brown</v>
      </c>
      <c r="I232" t="str">
        <f t="shared" si="3"/>
        <v>Bajo</v>
      </c>
    </row>
    <row r="233" spans="1:9" x14ac:dyDescent="0.25">
      <c r="A233" t="s">
        <v>411</v>
      </c>
      <c r="B233" t="s">
        <v>153</v>
      </c>
      <c r="C233">
        <v>3.3</v>
      </c>
      <c r="D233">
        <v>9372</v>
      </c>
      <c r="E233">
        <v>12</v>
      </c>
      <c r="F233">
        <v>2012</v>
      </c>
      <c r="G233" t="s">
        <v>12</v>
      </c>
      <c r="H233" t="str">
        <f>+CONCATENATE(A233," ",B233)</f>
        <v>The Casual Vacancy J.K. Rowling</v>
      </c>
      <c r="I233" t="str">
        <f t="shared" si="3"/>
        <v>Bajo</v>
      </c>
    </row>
    <row r="234" spans="1:9" x14ac:dyDescent="0.25">
      <c r="A234" t="s">
        <v>412</v>
      </c>
      <c r="B234" t="s">
        <v>413</v>
      </c>
      <c r="C234">
        <v>4.7</v>
      </c>
      <c r="D234">
        <v>4633</v>
      </c>
      <c r="E234">
        <v>21</v>
      </c>
      <c r="F234">
        <v>2011</v>
      </c>
      <c r="G234" t="s">
        <v>9</v>
      </c>
      <c r="H234" t="str">
        <f>+CONCATENATE(A234," ",B234)</f>
        <v>The China Study: The Most Comprehensive Study of Nutrition Ever Conducted And the Startling Implications for Diet… Thomas Campbell</v>
      </c>
      <c r="I234" t="str">
        <f t="shared" si="3"/>
        <v>Bajo</v>
      </c>
    </row>
    <row r="235" spans="1:9" x14ac:dyDescent="0.25">
      <c r="A235" t="s">
        <v>414</v>
      </c>
      <c r="B235" t="s">
        <v>415</v>
      </c>
      <c r="C235">
        <v>4.3</v>
      </c>
      <c r="D235">
        <v>13061</v>
      </c>
      <c r="E235">
        <v>6</v>
      </c>
      <c r="F235">
        <v>2018</v>
      </c>
      <c r="G235" t="s">
        <v>9</v>
      </c>
      <c r="H235" t="str">
        <f>+CONCATENATE(A235," ",B235)</f>
        <v>The Complete Ketogenic Diet for Beginners: Your Essential Guide to Living the Keto Lifestyle Amy Ramos</v>
      </c>
      <c r="I235" t="str">
        <f t="shared" si="3"/>
        <v>Bajo</v>
      </c>
    </row>
    <row r="236" spans="1:9" x14ac:dyDescent="0.25">
      <c r="A236" t="s">
        <v>416</v>
      </c>
      <c r="B236" t="s">
        <v>377</v>
      </c>
      <c r="C236">
        <v>4.3</v>
      </c>
      <c r="D236">
        <v>3523</v>
      </c>
      <c r="E236">
        <v>13</v>
      </c>
      <c r="F236">
        <v>2010</v>
      </c>
      <c r="G236" t="s">
        <v>12</v>
      </c>
      <c r="H236" t="str">
        <f>+CONCATENATE(A236," ",B236)</f>
        <v>The Confession: A Novel John Grisham</v>
      </c>
      <c r="I236" t="str">
        <f t="shared" si="3"/>
        <v>Bajo</v>
      </c>
    </row>
    <row r="237" spans="1:9" x14ac:dyDescent="0.25">
      <c r="A237" t="s">
        <v>417</v>
      </c>
      <c r="B237" t="s">
        <v>418</v>
      </c>
      <c r="C237">
        <v>4.8</v>
      </c>
      <c r="D237">
        <v>2774</v>
      </c>
      <c r="E237">
        <v>0</v>
      </c>
      <c r="F237">
        <v>2016</v>
      </c>
      <c r="G237" t="s">
        <v>9</v>
      </c>
      <c r="H237" t="str">
        <f>+CONCATENATE(A237," ",B237)</f>
        <v>The Constitution of the United States Delegates of the Constitutional</v>
      </c>
      <c r="I237" t="str">
        <f t="shared" si="3"/>
        <v>Bajo</v>
      </c>
    </row>
    <row r="238" spans="1:9" x14ac:dyDescent="0.25">
      <c r="A238" t="s">
        <v>419</v>
      </c>
      <c r="B238" t="s">
        <v>420</v>
      </c>
      <c r="C238">
        <v>4.4000000000000004</v>
      </c>
      <c r="D238">
        <v>440</v>
      </c>
      <c r="E238">
        <v>11</v>
      </c>
      <c r="F238">
        <v>2010</v>
      </c>
      <c r="G238" t="s">
        <v>9</v>
      </c>
      <c r="H238" t="str">
        <f>+CONCATENATE(A238," ",B238)</f>
        <v>The Daily Show with Jon Stewart Presents Earth (The Book): A Visitor's Guide to the Human Race Jon Stewart</v>
      </c>
      <c r="I238" t="str">
        <f t="shared" si="3"/>
        <v>Bajo</v>
      </c>
    </row>
    <row r="239" spans="1:9" x14ac:dyDescent="0.25">
      <c r="A239" t="s">
        <v>421</v>
      </c>
      <c r="B239" t="s">
        <v>422</v>
      </c>
      <c r="C239">
        <v>4.8</v>
      </c>
      <c r="D239">
        <v>8922</v>
      </c>
      <c r="E239">
        <v>9</v>
      </c>
      <c r="F239">
        <v>2013</v>
      </c>
      <c r="G239" t="s">
        <v>12</v>
      </c>
      <c r="H239" t="str">
        <f>+CONCATENATE(A239," ",B239)</f>
        <v>The Day the Crayons Quit Drew Daywalt</v>
      </c>
      <c r="I239" t="str">
        <f t="shared" si="3"/>
        <v>Bajo</v>
      </c>
    </row>
    <row r="240" spans="1:9" x14ac:dyDescent="0.25">
      <c r="A240" t="s">
        <v>423</v>
      </c>
      <c r="B240" t="s">
        <v>424</v>
      </c>
      <c r="C240">
        <v>4.0999999999999996</v>
      </c>
      <c r="D240">
        <v>2023</v>
      </c>
      <c r="E240">
        <v>15</v>
      </c>
      <c r="F240">
        <v>2011</v>
      </c>
      <c r="G240" t="s">
        <v>9</v>
      </c>
      <c r="H240" t="str">
        <f>+CONCATENATE(A240," ",B240)</f>
        <v>The Dukan Diet: 2 Steps to Lose the Weight, 2 Steps to Keep It Off Forever Pierre Dukan</v>
      </c>
      <c r="I240" t="str">
        <f t="shared" si="3"/>
        <v>Bajo</v>
      </c>
    </row>
    <row r="241" spans="1:9" x14ac:dyDescent="0.25">
      <c r="A241" t="s">
        <v>425</v>
      </c>
      <c r="B241" t="s">
        <v>426</v>
      </c>
      <c r="C241">
        <v>4</v>
      </c>
      <c r="D241">
        <v>1859</v>
      </c>
      <c r="E241">
        <v>11</v>
      </c>
      <c r="F241">
        <v>2009</v>
      </c>
      <c r="G241" t="s">
        <v>12</v>
      </c>
      <c r="H241" t="str">
        <f>+CONCATENATE(A241," ",B241)</f>
        <v>The Elegance of the Hedgehog Muriel Barbery</v>
      </c>
      <c r="I241" t="str">
        <f t="shared" si="3"/>
        <v>Bajo</v>
      </c>
    </row>
    <row r="242" spans="1:9" x14ac:dyDescent="0.25">
      <c r="A242" t="s">
        <v>427</v>
      </c>
      <c r="B242" t="s">
        <v>289</v>
      </c>
      <c r="C242">
        <v>4.7</v>
      </c>
      <c r="D242">
        <v>50482</v>
      </c>
      <c r="E242">
        <v>13</v>
      </c>
      <c r="F242">
        <v>2012</v>
      </c>
      <c r="G242" t="s">
        <v>12</v>
      </c>
      <c r="H242" t="str">
        <f>+CONCATENATE(A242," ",B242)</f>
        <v>The Fault in Our Stars John Green</v>
      </c>
      <c r="I242" t="str">
        <f t="shared" si="3"/>
        <v>Bajo</v>
      </c>
    </row>
    <row r="243" spans="1:9" x14ac:dyDescent="0.25">
      <c r="A243" t="s">
        <v>428</v>
      </c>
      <c r="B243" t="s">
        <v>429</v>
      </c>
      <c r="C243">
        <v>4.5999999999999996</v>
      </c>
      <c r="D243">
        <v>3207</v>
      </c>
      <c r="E243">
        <v>6</v>
      </c>
      <c r="F243">
        <v>2009</v>
      </c>
      <c r="G243" t="s">
        <v>9</v>
      </c>
      <c r="H243" t="str">
        <f>+CONCATENATE(A243," ",B243)</f>
        <v>The Five Dysfunctions of a Team: A Leadership Fable Patrick Lencioni</v>
      </c>
      <c r="I243" t="str">
        <f t="shared" si="3"/>
        <v>Bajo</v>
      </c>
    </row>
    <row r="244" spans="1:9" x14ac:dyDescent="0.25">
      <c r="A244" t="s">
        <v>430</v>
      </c>
      <c r="B244" t="s">
        <v>385</v>
      </c>
      <c r="C244">
        <v>4.5999999999999996</v>
      </c>
      <c r="D244">
        <v>803</v>
      </c>
      <c r="E244">
        <v>9</v>
      </c>
      <c r="F244">
        <v>2009</v>
      </c>
      <c r="G244" t="s">
        <v>9</v>
      </c>
      <c r="H244" t="str">
        <f>+CONCATENATE(A244," ",B244)</f>
        <v>The Five Love Languages: How to Express Heartfelt Commitment to Your Mate Gary Chapman</v>
      </c>
      <c r="I244" t="str">
        <f t="shared" si="3"/>
        <v>Bajo</v>
      </c>
    </row>
    <row r="245" spans="1:9" x14ac:dyDescent="0.25">
      <c r="A245" t="s">
        <v>431</v>
      </c>
      <c r="B245" t="s">
        <v>432</v>
      </c>
      <c r="C245">
        <v>4.7</v>
      </c>
      <c r="D245">
        <v>23308</v>
      </c>
      <c r="E245">
        <v>6</v>
      </c>
      <c r="F245">
        <v>2013</v>
      </c>
      <c r="G245" t="s">
        <v>9</v>
      </c>
      <c r="H245" t="str">
        <f>+CONCATENATE(A245," ",B245)</f>
        <v>The Four Agreements: A Practical Guide to Personal Freedom (A Toltec Wisdom Book) Don Miguel Ruiz</v>
      </c>
      <c r="I245" t="str">
        <f t="shared" si="3"/>
        <v>Bajo</v>
      </c>
    </row>
    <row r="246" spans="1:9" x14ac:dyDescent="0.25">
      <c r="A246" t="s">
        <v>433</v>
      </c>
      <c r="B246" t="s">
        <v>80</v>
      </c>
      <c r="C246">
        <v>4.8</v>
      </c>
      <c r="D246">
        <v>5836</v>
      </c>
      <c r="E246">
        <v>0</v>
      </c>
      <c r="F246">
        <v>2017</v>
      </c>
      <c r="G246" t="s">
        <v>12</v>
      </c>
      <c r="H246" t="str">
        <f>+CONCATENATE(A246," ",B246)</f>
        <v>The Getaway Jeff Kinney</v>
      </c>
      <c r="I246" t="str">
        <f t="shared" si="3"/>
        <v>Bajo</v>
      </c>
    </row>
    <row r="247" spans="1:9" x14ac:dyDescent="0.25">
      <c r="A247" t="s">
        <v>434</v>
      </c>
      <c r="B247" t="s">
        <v>435</v>
      </c>
      <c r="C247">
        <v>4.0999999999999996</v>
      </c>
      <c r="D247">
        <v>79446</v>
      </c>
      <c r="E247">
        <v>18</v>
      </c>
      <c r="F247">
        <v>2015</v>
      </c>
      <c r="G247" t="s">
        <v>12</v>
      </c>
      <c r="H247" t="str">
        <f>+CONCATENATE(A247," ",B247)</f>
        <v>The Girl on the Train Paula Hawkins</v>
      </c>
      <c r="I247" t="str">
        <f t="shared" si="3"/>
        <v>Bajo</v>
      </c>
    </row>
    <row r="248" spans="1:9" x14ac:dyDescent="0.25">
      <c r="A248" t="s">
        <v>436</v>
      </c>
      <c r="B248" t="s">
        <v>437</v>
      </c>
      <c r="C248">
        <v>4.7</v>
      </c>
      <c r="D248">
        <v>7747</v>
      </c>
      <c r="E248">
        <v>14</v>
      </c>
      <c r="F248">
        <v>2010</v>
      </c>
      <c r="G248" t="s">
        <v>12</v>
      </c>
      <c r="H248" t="str">
        <f>+CONCATENATE(A248," ",B248)</f>
        <v>The Girl Who Kicked the Hornet's Nest (Millennium Trilogy) Stieg Larsson</v>
      </c>
      <c r="I248" t="str">
        <f t="shared" si="3"/>
        <v>Bajo</v>
      </c>
    </row>
    <row r="249" spans="1:9" x14ac:dyDescent="0.25">
      <c r="A249" t="s">
        <v>438</v>
      </c>
      <c r="B249" t="s">
        <v>437</v>
      </c>
      <c r="C249">
        <v>4.7</v>
      </c>
      <c r="D249">
        <v>7251</v>
      </c>
      <c r="E249">
        <v>9</v>
      </c>
      <c r="F249">
        <v>2010</v>
      </c>
      <c r="G249" t="s">
        <v>12</v>
      </c>
      <c r="H249" t="str">
        <f>+CONCATENATE(A249," ",B249)</f>
        <v>The Girl Who Played with Fire (Millennium Series) Stieg Larsson</v>
      </c>
      <c r="I249" t="str">
        <f t="shared" si="3"/>
        <v>Bajo</v>
      </c>
    </row>
    <row r="250" spans="1:9" x14ac:dyDescent="0.25">
      <c r="A250" t="s">
        <v>439</v>
      </c>
      <c r="B250" t="s">
        <v>437</v>
      </c>
      <c r="C250">
        <v>4.7</v>
      </c>
      <c r="D250">
        <v>7251</v>
      </c>
      <c r="E250">
        <v>16</v>
      </c>
      <c r="F250">
        <v>2009</v>
      </c>
      <c r="G250" t="s">
        <v>12</v>
      </c>
      <c r="H250" t="str">
        <f>+CONCATENATE(A250," ",B250)</f>
        <v>The Girl Who Played with Fire (Millennium) Stieg Larsson</v>
      </c>
      <c r="I250" t="str">
        <f t="shared" si="3"/>
        <v>Bajo</v>
      </c>
    </row>
    <row r="251" spans="1:9" x14ac:dyDescent="0.25">
      <c r="A251" t="s">
        <v>440</v>
      </c>
      <c r="B251" t="s">
        <v>437</v>
      </c>
      <c r="C251">
        <v>4.4000000000000004</v>
      </c>
      <c r="D251">
        <v>10559</v>
      </c>
      <c r="E251">
        <v>2</v>
      </c>
      <c r="F251">
        <v>2009</v>
      </c>
      <c r="G251" t="s">
        <v>12</v>
      </c>
      <c r="H251" t="str">
        <f>+CONCATENATE(A251," ",B251)</f>
        <v>The Girl with the Dragon Tattoo (Millennium Series) Stieg Larsson</v>
      </c>
      <c r="I251" t="str">
        <f t="shared" si="3"/>
        <v>Bajo</v>
      </c>
    </row>
    <row r="252" spans="1:9" x14ac:dyDescent="0.25">
      <c r="A252" t="s">
        <v>441</v>
      </c>
      <c r="B252" t="s">
        <v>442</v>
      </c>
      <c r="C252">
        <v>4.8</v>
      </c>
      <c r="D252">
        <v>5249</v>
      </c>
      <c r="E252">
        <v>5</v>
      </c>
      <c r="F252">
        <v>2016</v>
      </c>
      <c r="G252" t="s">
        <v>12</v>
      </c>
      <c r="H252" t="str">
        <f>+CONCATENATE(A252," ",B252)</f>
        <v>The Going-To-Bed Book Sandra Boynton</v>
      </c>
      <c r="I252" t="str">
        <f t="shared" si="3"/>
        <v>Bajo</v>
      </c>
    </row>
    <row r="253" spans="1:9" x14ac:dyDescent="0.25">
      <c r="A253" t="s">
        <v>443</v>
      </c>
      <c r="B253" t="s">
        <v>444</v>
      </c>
      <c r="C253">
        <v>3.9</v>
      </c>
      <c r="D253">
        <v>33844</v>
      </c>
      <c r="E253">
        <v>20</v>
      </c>
      <c r="F253">
        <v>2013</v>
      </c>
      <c r="G253" t="s">
        <v>12</v>
      </c>
      <c r="H253" t="str">
        <f>+CONCATENATE(A253," ",B253)</f>
        <v>The Goldfinch: A Novel (Pulitzer Prize for Fiction) Donna Tartt</v>
      </c>
      <c r="I253" t="str">
        <f t="shared" si="3"/>
        <v>Bajo</v>
      </c>
    </row>
    <row r="254" spans="1:9" x14ac:dyDescent="0.25">
      <c r="A254" t="s">
        <v>445</v>
      </c>
      <c r="B254" t="s">
        <v>446</v>
      </c>
      <c r="C254">
        <v>4.4000000000000004</v>
      </c>
      <c r="D254">
        <v>11616</v>
      </c>
      <c r="E254">
        <v>7</v>
      </c>
      <c r="F254">
        <v>2012</v>
      </c>
      <c r="G254" t="s">
        <v>12</v>
      </c>
      <c r="H254" t="str">
        <f>+CONCATENATE(A254," ",B254)</f>
        <v>The Great Gatsby F. Scott Fitzgerald</v>
      </c>
      <c r="I254" t="str">
        <f t="shared" si="3"/>
        <v>Bajo</v>
      </c>
    </row>
    <row r="255" spans="1:9" x14ac:dyDescent="0.25">
      <c r="A255" t="s">
        <v>447</v>
      </c>
      <c r="B255" t="s">
        <v>377</v>
      </c>
      <c r="C255">
        <v>4.5</v>
      </c>
      <c r="D255">
        <v>13609</v>
      </c>
      <c r="E255">
        <v>14</v>
      </c>
      <c r="F255">
        <v>2019</v>
      </c>
      <c r="G255" t="s">
        <v>12</v>
      </c>
      <c r="H255" t="str">
        <f>+CONCATENATE(A255," ",B255)</f>
        <v>The Guardians: A Novel John Grisham</v>
      </c>
      <c r="I255" t="str">
        <f t="shared" si="3"/>
        <v>Bajo</v>
      </c>
    </row>
    <row r="256" spans="1:9" x14ac:dyDescent="0.25">
      <c r="A256" t="s">
        <v>448</v>
      </c>
      <c r="B256" t="s">
        <v>449</v>
      </c>
      <c r="C256">
        <v>4.7</v>
      </c>
      <c r="D256">
        <v>8587</v>
      </c>
      <c r="E256">
        <v>10</v>
      </c>
      <c r="F256">
        <v>2009</v>
      </c>
      <c r="G256" t="s">
        <v>12</v>
      </c>
      <c r="H256" t="str">
        <f>+CONCATENATE(A256," ",B256)</f>
        <v>The Guernsey Literary and Potato Peel Pie Society Mary Ann Shaffer</v>
      </c>
      <c r="I256" t="str">
        <f t="shared" si="3"/>
        <v>Bajo</v>
      </c>
    </row>
    <row r="257" spans="1:9" x14ac:dyDescent="0.25">
      <c r="A257" t="s">
        <v>450</v>
      </c>
      <c r="B257" t="s">
        <v>451</v>
      </c>
      <c r="C257">
        <v>4.3</v>
      </c>
      <c r="D257">
        <v>29442</v>
      </c>
      <c r="E257">
        <v>7</v>
      </c>
      <c r="F257">
        <v>2017</v>
      </c>
      <c r="G257" t="s">
        <v>12</v>
      </c>
      <c r="H257" t="str">
        <f>+CONCATENATE(A257," ",B257)</f>
        <v>The Handmaid's Tale Margaret Atwood</v>
      </c>
      <c r="I257" t="str">
        <f t="shared" si="3"/>
        <v>Bajo</v>
      </c>
    </row>
    <row r="258" spans="1:9" x14ac:dyDescent="0.25">
      <c r="A258" t="s">
        <v>452</v>
      </c>
      <c r="B258" t="s">
        <v>453</v>
      </c>
      <c r="C258">
        <v>4.5999999999999996</v>
      </c>
      <c r="D258">
        <v>11098</v>
      </c>
      <c r="E258">
        <v>13</v>
      </c>
      <c r="F258">
        <v>2012</v>
      </c>
      <c r="G258" t="s">
        <v>12</v>
      </c>
      <c r="H258" t="str">
        <f>+CONCATENATE(A258," ",B258)</f>
        <v>The Harbinger: The Ancient Mystery that Holds the Secret of America's Future Jonathan Cahn</v>
      </c>
      <c r="I258" t="str">
        <f t="shared" si="3"/>
        <v>Bajo</v>
      </c>
    </row>
    <row r="259" spans="1:9" x14ac:dyDescent="0.25">
      <c r="A259" t="s">
        <v>454</v>
      </c>
      <c r="B259" t="s">
        <v>455</v>
      </c>
      <c r="C259">
        <v>4.8</v>
      </c>
      <c r="D259">
        <v>9947</v>
      </c>
      <c r="E259">
        <v>11</v>
      </c>
      <c r="F259">
        <v>2018</v>
      </c>
      <c r="G259" t="s">
        <v>12</v>
      </c>
      <c r="H259" t="str">
        <f>+CONCATENATE(A259," ",B259)</f>
        <v>The Hate U Give Angie Thomas</v>
      </c>
      <c r="I259" t="str">
        <f t="shared" si="3"/>
        <v>Bajo</v>
      </c>
    </row>
    <row r="260" spans="1:9" x14ac:dyDescent="0.25">
      <c r="A260" t="s">
        <v>456</v>
      </c>
      <c r="B260" t="s">
        <v>457</v>
      </c>
      <c r="C260">
        <v>4.8</v>
      </c>
      <c r="D260">
        <v>13871</v>
      </c>
      <c r="E260">
        <v>6</v>
      </c>
      <c r="F260">
        <v>2009</v>
      </c>
      <c r="G260" t="s">
        <v>12</v>
      </c>
      <c r="H260" t="str">
        <f>+CONCATENATE(A260," ",B260)</f>
        <v>The Help Kathryn Stockett</v>
      </c>
      <c r="I260" t="str">
        <f t="shared" ref="I260:I314" si="4">+IF(E260&lt;=35,"Bajo",IF(E260&lt;=70,"Medio","Alto"))</f>
        <v>Bajo</v>
      </c>
    </row>
    <row r="261" spans="1:9" x14ac:dyDescent="0.25">
      <c r="A261" t="s">
        <v>458</v>
      </c>
      <c r="B261" t="s">
        <v>333</v>
      </c>
      <c r="C261">
        <v>4.8</v>
      </c>
      <c r="D261">
        <v>6982</v>
      </c>
      <c r="E261">
        <v>14</v>
      </c>
      <c r="F261">
        <v>2013</v>
      </c>
      <c r="G261" t="s">
        <v>12</v>
      </c>
      <c r="H261" t="str">
        <f>+CONCATENATE(A261," ",B261)</f>
        <v>The House of Hades (Heroes of Olympus, Book 4) Rick Riordan</v>
      </c>
      <c r="I261" t="str">
        <f t="shared" si="4"/>
        <v>Bajo</v>
      </c>
    </row>
    <row r="262" spans="1:9" x14ac:dyDescent="0.25">
      <c r="A262" t="s">
        <v>459</v>
      </c>
      <c r="B262" t="s">
        <v>88</v>
      </c>
      <c r="C262">
        <v>4.7</v>
      </c>
      <c r="D262">
        <v>32122</v>
      </c>
      <c r="E262">
        <v>14</v>
      </c>
      <c r="F262">
        <v>2010</v>
      </c>
      <c r="G262" t="s">
        <v>12</v>
      </c>
      <c r="H262" t="str">
        <f>+CONCATENATE(A262," ",B262)</f>
        <v>The Hunger Games Suzanne Collins</v>
      </c>
      <c r="I262" t="str">
        <f t="shared" si="4"/>
        <v>Bajo</v>
      </c>
    </row>
    <row r="263" spans="1:9" x14ac:dyDescent="0.25">
      <c r="A263" t="s">
        <v>460</v>
      </c>
      <c r="B263" t="s">
        <v>88</v>
      </c>
      <c r="C263">
        <v>4.7</v>
      </c>
      <c r="D263">
        <v>32122</v>
      </c>
      <c r="E263">
        <v>8</v>
      </c>
      <c r="F263">
        <v>2011</v>
      </c>
      <c r="G263" t="s">
        <v>12</v>
      </c>
      <c r="H263" t="str">
        <f>+CONCATENATE(A263," ",B263)</f>
        <v>The Hunger Games (Book 1) Suzanne Collins</v>
      </c>
      <c r="I263" t="str">
        <f t="shared" si="4"/>
        <v>Bajo</v>
      </c>
    </row>
    <row r="264" spans="1:9" x14ac:dyDescent="0.25">
      <c r="A264" t="s">
        <v>461</v>
      </c>
      <c r="B264" t="s">
        <v>88</v>
      </c>
      <c r="C264">
        <v>4.8</v>
      </c>
      <c r="D264">
        <v>16949</v>
      </c>
      <c r="E264">
        <v>30</v>
      </c>
      <c r="F264">
        <v>2011</v>
      </c>
      <c r="G264" t="s">
        <v>12</v>
      </c>
      <c r="H264" t="str">
        <f>+CONCATENATE(A264," ",B264)</f>
        <v>The Hunger Games Trilogy Boxed Set (1) Suzanne Collins</v>
      </c>
      <c r="I264" t="str">
        <f t="shared" si="4"/>
        <v>Bajo</v>
      </c>
    </row>
    <row r="265" spans="1:9" x14ac:dyDescent="0.25">
      <c r="A265" t="s">
        <v>462</v>
      </c>
      <c r="B265" t="s">
        <v>463</v>
      </c>
      <c r="C265">
        <v>4.7</v>
      </c>
      <c r="D265">
        <v>9289</v>
      </c>
      <c r="E265">
        <v>13</v>
      </c>
      <c r="F265">
        <v>2010</v>
      </c>
      <c r="G265" t="s">
        <v>9</v>
      </c>
      <c r="H265" t="str">
        <f>+CONCATENATE(A265," ",B265)</f>
        <v>The Immortal Life of Henrietta Lacks Rebecca Skloot</v>
      </c>
      <c r="I265" t="str">
        <f t="shared" si="4"/>
        <v>Bajo</v>
      </c>
    </row>
    <row r="266" spans="1:9" x14ac:dyDescent="0.25">
      <c r="A266" t="s">
        <v>464</v>
      </c>
      <c r="B266" t="s">
        <v>465</v>
      </c>
      <c r="C266">
        <v>4.3</v>
      </c>
      <c r="D266">
        <v>7368</v>
      </c>
      <c r="E266">
        <v>7</v>
      </c>
      <c r="F266">
        <v>2017</v>
      </c>
      <c r="G266" t="s">
        <v>9</v>
      </c>
      <c r="H266" t="str">
        <f>+CONCATENATE(A266," ",B266)</f>
        <v>The Instant Pot Electric Pressure Cooker Cookbook: Easy Recipes for Fast &amp; Healthy Meals Laurel Randolph</v>
      </c>
      <c r="I266" t="str">
        <f t="shared" si="4"/>
        <v>Bajo</v>
      </c>
    </row>
    <row r="267" spans="1:9" x14ac:dyDescent="0.25">
      <c r="A267" t="s">
        <v>466</v>
      </c>
      <c r="B267" t="s">
        <v>467</v>
      </c>
      <c r="C267">
        <v>4.7</v>
      </c>
      <c r="D267">
        <v>4028</v>
      </c>
      <c r="E267">
        <v>9</v>
      </c>
      <c r="F267">
        <v>2009</v>
      </c>
      <c r="G267" t="s">
        <v>9</v>
      </c>
      <c r="H267" t="str">
        <f>+CONCATENATE(A267," ",B267)</f>
        <v>The Last Lecture Randy Pausch</v>
      </c>
      <c r="I267" t="str">
        <f t="shared" si="4"/>
        <v>Bajo</v>
      </c>
    </row>
    <row r="268" spans="1:9" x14ac:dyDescent="0.25">
      <c r="A268" t="s">
        <v>468</v>
      </c>
      <c r="B268" t="s">
        <v>333</v>
      </c>
      <c r="C268">
        <v>4.8</v>
      </c>
      <c r="D268">
        <v>4628</v>
      </c>
      <c r="E268">
        <v>7</v>
      </c>
      <c r="F268">
        <v>2009</v>
      </c>
      <c r="G268" t="s">
        <v>12</v>
      </c>
      <c r="H268" t="str">
        <f>+CONCATENATE(A268," ",B268)</f>
        <v>The Last Olympian (Percy Jackson and the Olympians, Book 5) Rick Riordan</v>
      </c>
      <c r="I268" t="str">
        <f t="shared" si="4"/>
        <v>Bajo</v>
      </c>
    </row>
    <row r="269" spans="1:9" x14ac:dyDescent="0.25">
      <c r="A269" t="s">
        <v>469</v>
      </c>
      <c r="B269" t="s">
        <v>470</v>
      </c>
      <c r="C269">
        <v>4.9000000000000004</v>
      </c>
      <c r="D269">
        <v>5396</v>
      </c>
      <c r="E269">
        <v>20</v>
      </c>
      <c r="F269">
        <v>2013</v>
      </c>
      <c r="G269" t="s">
        <v>12</v>
      </c>
      <c r="H269" t="str">
        <f>+CONCATENATE(A269," ",B269)</f>
        <v>The Legend of Zelda: Hyrule Historia Patrick Thorpe</v>
      </c>
      <c r="I269" t="str">
        <f t="shared" si="4"/>
        <v>Bajo</v>
      </c>
    </row>
    <row r="270" spans="1:9" x14ac:dyDescent="0.25">
      <c r="A270" t="s">
        <v>471</v>
      </c>
      <c r="B270" t="s">
        <v>472</v>
      </c>
      <c r="C270">
        <v>4.4000000000000004</v>
      </c>
      <c r="D270">
        <v>4247</v>
      </c>
      <c r="E270">
        <v>13</v>
      </c>
      <c r="F270">
        <v>2011</v>
      </c>
      <c r="G270" t="s">
        <v>9</v>
      </c>
      <c r="H270" t="str">
        <f>+CONCATENATE(A270," ",B270)</f>
        <v>The Lego Ideas Book: Unlock Your Imagination Daniel Lipkowitz</v>
      </c>
      <c r="I270" t="str">
        <f t="shared" si="4"/>
        <v>Bajo</v>
      </c>
    </row>
    <row r="271" spans="1:9" x14ac:dyDescent="0.25">
      <c r="A271" t="s">
        <v>473</v>
      </c>
      <c r="B271" t="s">
        <v>474</v>
      </c>
      <c r="C271">
        <v>4.5</v>
      </c>
      <c r="D271">
        <v>22641</v>
      </c>
      <c r="E271">
        <v>11</v>
      </c>
      <c r="F271">
        <v>2015</v>
      </c>
      <c r="G271" t="s">
        <v>9</v>
      </c>
      <c r="H271" t="str">
        <f>+CONCATENATE(A271," ",B271)</f>
        <v>The Life-Changing Magic of Tidying Up: The Japanese Art of Decluttering and Organizing Marie Kondō</v>
      </c>
      <c r="I271" t="str">
        <f t="shared" si="4"/>
        <v>Bajo</v>
      </c>
    </row>
    <row r="272" spans="1:9" x14ac:dyDescent="0.25">
      <c r="A272" t="s">
        <v>475</v>
      </c>
      <c r="B272" t="s">
        <v>377</v>
      </c>
      <c r="C272">
        <v>4.4000000000000004</v>
      </c>
      <c r="D272">
        <v>6222</v>
      </c>
      <c r="E272">
        <v>18</v>
      </c>
      <c r="F272">
        <v>2011</v>
      </c>
      <c r="G272" t="s">
        <v>12</v>
      </c>
      <c r="H272" t="str">
        <f>+CONCATENATE(A272," ",B272)</f>
        <v>The Litigators John Grisham</v>
      </c>
      <c r="I272" t="str">
        <f t="shared" si="4"/>
        <v>Bajo</v>
      </c>
    </row>
    <row r="273" spans="1:9" x14ac:dyDescent="0.25">
      <c r="A273" t="s">
        <v>476</v>
      </c>
      <c r="B273" t="s">
        <v>333</v>
      </c>
      <c r="C273">
        <v>4.8</v>
      </c>
      <c r="D273">
        <v>4506</v>
      </c>
      <c r="E273">
        <v>14</v>
      </c>
      <c r="F273">
        <v>2010</v>
      </c>
      <c r="G273" t="s">
        <v>12</v>
      </c>
      <c r="H273" t="str">
        <f>+CONCATENATE(A273," ",B273)</f>
        <v>The Lost Hero (Heroes of Olympus, Book 1) Rick Riordan</v>
      </c>
      <c r="I273" t="str">
        <f t="shared" si="4"/>
        <v>Bajo</v>
      </c>
    </row>
    <row r="274" spans="1:9" x14ac:dyDescent="0.25">
      <c r="A274" t="s">
        <v>477</v>
      </c>
      <c r="B274" t="s">
        <v>245</v>
      </c>
      <c r="C274">
        <v>4.2</v>
      </c>
      <c r="D274">
        <v>8747</v>
      </c>
      <c r="E274">
        <v>19</v>
      </c>
      <c r="F274">
        <v>2009</v>
      </c>
      <c r="G274" t="s">
        <v>12</v>
      </c>
      <c r="H274" t="str">
        <f>+CONCATENATE(A274," ",B274)</f>
        <v>The Lost Symbol Dan Brown</v>
      </c>
      <c r="I274" t="str">
        <f t="shared" si="4"/>
        <v>Bajo</v>
      </c>
    </row>
    <row r="275" spans="1:9" x14ac:dyDescent="0.25">
      <c r="A275" t="s">
        <v>478</v>
      </c>
      <c r="B275" t="s">
        <v>479</v>
      </c>
      <c r="C275">
        <v>4.8</v>
      </c>
      <c r="D275">
        <v>1655</v>
      </c>
      <c r="E275">
        <v>13</v>
      </c>
      <c r="F275">
        <v>2009</v>
      </c>
      <c r="G275" t="s">
        <v>9</v>
      </c>
      <c r="H275" t="str">
        <f>+CONCATENATE(A275," ",B275)</f>
        <v>The Love Dare Stephen Kendrick</v>
      </c>
      <c r="I275" t="str">
        <f t="shared" si="4"/>
        <v>Bajo</v>
      </c>
    </row>
    <row r="276" spans="1:9" x14ac:dyDescent="0.25">
      <c r="A276" t="s">
        <v>480</v>
      </c>
      <c r="B276" t="s">
        <v>481</v>
      </c>
      <c r="C276">
        <v>4.9000000000000004</v>
      </c>
      <c r="D276">
        <v>7861</v>
      </c>
      <c r="E276">
        <v>5</v>
      </c>
      <c r="F276">
        <v>2016</v>
      </c>
      <c r="G276" t="s">
        <v>9</v>
      </c>
      <c r="H276" t="str">
        <f>+CONCATENATE(A276," ",B276)</f>
        <v>The Magnolia Story Chip Gaines</v>
      </c>
      <c r="I276" t="str">
        <f t="shared" si="4"/>
        <v>Bajo</v>
      </c>
    </row>
    <row r="277" spans="1:9" x14ac:dyDescent="0.25">
      <c r="A277" t="s">
        <v>482</v>
      </c>
      <c r="B277" t="s">
        <v>333</v>
      </c>
      <c r="C277">
        <v>4.8</v>
      </c>
      <c r="D277">
        <v>6247</v>
      </c>
      <c r="E277">
        <v>10</v>
      </c>
      <c r="F277">
        <v>2012</v>
      </c>
      <c r="G277" t="s">
        <v>12</v>
      </c>
      <c r="H277" t="str">
        <f>+CONCATENATE(A277," ",B277)</f>
        <v>The Mark of Athena (Heroes of Olympus, Book 3) Rick Riordan</v>
      </c>
      <c r="I277" t="str">
        <f t="shared" si="4"/>
        <v>Bajo</v>
      </c>
    </row>
    <row r="278" spans="1:9" x14ac:dyDescent="0.25">
      <c r="A278" t="s">
        <v>483</v>
      </c>
      <c r="B278" t="s">
        <v>484</v>
      </c>
      <c r="C278">
        <v>4.7</v>
      </c>
      <c r="D278">
        <v>39459</v>
      </c>
      <c r="E278">
        <v>9</v>
      </c>
      <c r="F278">
        <v>2015</v>
      </c>
      <c r="G278" t="s">
        <v>12</v>
      </c>
      <c r="H278" t="str">
        <f>+CONCATENATE(A278," ",B278)</f>
        <v>The Martian Andy Weir</v>
      </c>
      <c r="I278" t="str">
        <f t="shared" si="4"/>
        <v>Bajo</v>
      </c>
    </row>
    <row r="279" spans="1:9" x14ac:dyDescent="0.25">
      <c r="A279" t="s">
        <v>485</v>
      </c>
      <c r="B279" t="s">
        <v>486</v>
      </c>
      <c r="C279">
        <v>4.5</v>
      </c>
      <c r="D279">
        <v>10101</v>
      </c>
      <c r="E279">
        <v>8</v>
      </c>
      <c r="F279">
        <v>2014</v>
      </c>
      <c r="G279" t="s">
        <v>12</v>
      </c>
      <c r="H279" t="str">
        <f>+CONCATENATE(A279," ",B279)</f>
        <v>The Maze Runner (Book 1) James Dashner</v>
      </c>
      <c r="I279" t="str">
        <f t="shared" si="4"/>
        <v>Bajo</v>
      </c>
    </row>
    <row r="280" spans="1:9" x14ac:dyDescent="0.25">
      <c r="A280" t="s">
        <v>487</v>
      </c>
      <c r="B280" t="s">
        <v>80</v>
      </c>
      <c r="C280">
        <v>4.8</v>
      </c>
      <c r="D280">
        <v>5898</v>
      </c>
      <c r="E280">
        <v>8</v>
      </c>
      <c r="F280">
        <v>2018</v>
      </c>
      <c r="G280" t="s">
        <v>12</v>
      </c>
      <c r="H280" t="str">
        <f>+CONCATENATE(A280," ",B280)</f>
        <v>The Meltdown (Diary of a Wimpy Kid Book 13) Jeff Kinney</v>
      </c>
      <c r="I280" t="str">
        <f t="shared" si="4"/>
        <v>Bajo</v>
      </c>
    </row>
    <row r="281" spans="1:9" x14ac:dyDescent="0.25">
      <c r="A281" t="s">
        <v>488</v>
      </c>
      <c r="B281" t="s">
        <v>489</v>
      </c>
      <c r="C281">
        <v>4.5999999999999996</v>
      </c>
      <c r="D281">
        <v>2744</v>
      </c>
      <c r="E281">
        <v>12</v>
      </c>
      <c r="F281">
        <v>2019</v>
      </c>
      <c r="G281" t="s">
        <v>9</v>
      </c>
      <c r="H281" t="str">
        <f>+CONCATENATE(A281," ",B281)</f>
        <v>The Mueller Report The Washington Post</v>
      </c>
      <c r="I281" t="str">
        <f t="shared" si="4"/>
        <v>Bajo</v>
      </c>
    </row>
    <row r="282" spans="1:9" x14ac:dyDescent="0.25">
      <c r="A282" t="s">
        <v>490</v>
      </c>
      <c r="B282" t="s">
        <v>491</v>
      </c>
      <c r="C282">
        <v>4.8</v>
      </c>
      <c r="D282">
        <v>49288</v>
      </c>
      <c r="E282">
        <v>11</v>
      </c>
      <c r="F282">
        <v>2015</v>
      </c>
      <c r="G282" t="s">
        <v>12</v>
      </c>
      <c r="H282" t="str">
        <f>+CONCATENATE(A282," ",B282)</f>
        <v>The Nightingale: A Novel Kristin Hannah</v>
      </c>
      <c r="I282" t="str">
        <f t="shared" si="4"/>
        <v>Bajo</v>
      </c>
    </row>
    <row r="283" spans="1:9" x14ac:dyDescent="0.25">
      <c r="A283" t="s">
        <v>492</v>
      </c>
      <c r="B283" t="s">
        <v>493</v>
      </c>
      <c r="C283">
        <v>4.4000000000000004</v>
      </c>
      <c r="D283">
        <v>1201</v>
      </c>
      <c r="E283">
        <v>40</v>
      </c>
      <c r="F283">
        <v>2010</v>
      </c>
      <c r="G283" t="s">
        <v>9</v>
      </c>
      <c r="H283" t="str">
        <f>+CONCATENATE(A283," ",B283)</f>
        <v>The Official SAT Study Guide The College Board</v>
      </c>
      <c r="I283" t="str">
        <f t="shared" si="4"/>
        <v>Medio</v>
      </c>
    </row>
    <row r="284" spans="1:9" x14ac:dyDescent="0.25">
      <c r="A284" t="s">
        <v>494</v>
      </c>
      <c r="B284" t="s">
        <v>493</v>
      </c>
      <c r="C284">
        <v>4.3</v>
      </c>
      <c r="D284">
        <v>807</v>
      </c>
      <c r="E284">
        <v>36</v>
      </c>
      <c r="F284">
        <v>2016</v>
      </c>
      <c r="G284" t="s">
        <v>9</v>
      </c>
      <c r="H284" t="str">
        <f>+CONCATENATE(A284," ",B284)</f>
        <v>The Official SAT Study Guide, 2016 Edition (Official Study Guide for the New Sat) The College Board</v>
      </c>
      <c r="I284" t="str">
        <f t="shared" si="4"/>
        <v>Medio</v>
      </c>
    </row>
    <row r="285" spans="1:9" x14ac:dyDescent="0.25">
      <c r="A285" t="s">
        <v>495</v>
      </c>
      <c r="B285" t="s">
        <v>496</v>
      </c>
      <c r="C285">
        <v>4.3</v>
      </c>
      <c r="D285">
        <v>3759</v>
      </c>
      <c r="E285">
        <v>16</v>
      </c>
      <c r="F285">
        <v>2011</v>
      </c>
      <c r="G285" t="s">
        <v>12</v>
      </c>
      <c r="H285" t="str">
        <f>+CONCATENATE(A285," ",B285)</f>
        <v>The Paris Wife: A Novel Paula McLain</v>
      </c>
      <c r="I285" t="str">
        <f t="shared" si="4"/>
        <v>Bajo</v>
      </c>
    </row>
    <row r="286" spans="1:9" x14ac:dyDescent="0.25">
      <c r="A286" t="s">
        <v>497</v>
      </c>
      <c r="B286" t="s">
        <v>498</v>
      </c>
      <c r="C286">
        <v>4.8</v>
      </c>
      <c r="D286">
        <v>2663</v>
      </c>
      <c r="E286">
        <v>17</v>
      </c>
      <c r="F286">
        <v>2013</v>
      </c>
      <c r="G286" t="s">
        <v>9</v>
      </c>
      <c r="H286" t="str">
        <f>+CONCATENATE(A286," ",B286)</f>
        <v>The Pioneer Woman Cooks: A Year of Holidays: 140 Step-by-Step Recipes for Simple, Scrumptious Celebrations Ree Drummond</v>
      </c>
      <c r="I286" t="str">
        <f t="shared" si="4"/>
        <v>Bajo</v>
      </c>
    </row>
    <row r="287" spans="1:9" x14ac:dyDescent="0.25">
      <c r="A287" t="s">
        <v>499</v>
      </c>
      <c r="B287" t="s">
        <v>498</v>
      </c>
      <c r="C287">
        <v>4.8</v>
      </c>
      <c r="D287">
        <v>3428</v>
      </c>
      <c r="E287">
        <v>14</v>
      </c>
      <c r="F287">
        <v>2015</v>
      </c>
      <c r="G287" t="s">
        <v>9</v>
      </c>
      <c r="H287" t="str">
        <f>+CONCATENATE(A287," ",B287)</f>
        <v>The Pioneer Woman Cooks: Dinnertime - Comfort Classics, Freezer Food, 16-minute Meals, and Other Delicious Ways to Solve… Ree Drummond</v>
      </c>
      <c r="I287" t="str">
        <f t="shared" si="4"/>
        <v>Bajo</v>
      </c>
    </row>
    <row r="288" spans="1:9" x14ac:dyDescent="0.25">
      <c r="A288" t="s">
        <v>500</v>
      </c>
      <c r="B288" t="s">
        <v>498</v>
      </c>
      <c r="C288">
        <v>4.8</v>
      </c>
      <c r="D288">
        <v>2876</v>
      </c>
      <c r="E288">
        <v>21</v>
      </c>
      <c r="F288">
        <v>2012</v>
      </c>
      <c r="G288" t="s">
        <v>9</v>
      </c>
      <c r="H288" t="str">
        <f>+CONCATENATE(A288," ",B288)</f>
        <v>The Pioneer Woman Cooks: Food from My Frontier Ree Drummond</v>
      </c>
      <c r="I288" t="str">
        <f t="shared" si="4"/>
        <v>Bajo</v>
      </c>
    </row>
    <row r="289" spans="1:9" x14ac:dyDescent="0.25">
      <c r="A289" t="s">
        <v>501</v>
      </c>
      <c r="B289" t="s">
        <v>502</v>
      </c>
      <c r="C289">
        <v>4.5</v>
      </c>
      <c r="D289">
        <v>3601</v>
      </c>
      <c r="E289">
        <v>18</v>
      </c>
      <c r="F289">
        <v>2018</v>
      </c>
      <c r="G289" t="s">
        <v>9</v>
      </c>
      <c r="H289" t="str">
        <f>+CONCATENATE(A289," ",B289)</f>
        <v>The Plant Paradox Cookbook: 100 Delicious Recipes to Help You Lose Weight, Heal Your Gut, and Live Lectin-Free Dr. Steven R Gundry MD</v>
      </c>
      <c r="I289" t="str">
        <f t="shared" si="4"/>
        <v>Bajo</v>
      </c>
    </row>
    <row r="290" spans="1:9" x14ac:dyDescent="0.25">
      <c r="A290" t="s">
        <v>503</v>
      </c>
      <c r="B290" t="s">
        <v>502</v>
      </c>
      <c r="C290">
        <v>4.4000000000000004</v>
      </c>
      <c r="D290">
        <v>7058</v>
      </c>
      <c r="E290">
        <v>17</v>
      </c>
      <c r="F290">
        <v>2018</v>
      </c>
      <c r="G290" t="s">
        <v>9</v>
      </c>
      <c r="H290" t="str">
        <f>+CONCATENATE(A290," ",B290)</f>
        <v>The Plant Paradox: The Hidden Dangers in "Healthy" Foods That Cause Disease and Weight Gain Dr. Steven R Gundry MD</v>
      </c>
      <c r="I290" t="str">
        <f t="shared" si="4"/>
        <v>Bajo</v>
      </c>
    </row>
    <row r="291" spans="1:9" x14ac:dyDescent="0.25">
      <c r="A291" t="s">
        <v>504</v>
      </c>
      <c r="B291" t="s">
        <v>505</v>
      </c>
      <c r="C291">
        <v>4.8</v>
      </c>
      <c r="D291">
        <v>9784</v>
      </c>
      <c r="E291">
        <v>5</v>
      </c>
      <c r="F291">
        <v>2017</v>
      </c>
      <c r="G291" t="s">
        <v>12</v>
      </c>
      <c r="H291" t="str">
        <f>+CONCATENATE(A291," ",B291)</f>
        <v>The Pout-Pout Fish Deborah Diesen</v>
      </c>
      <c r="I291" t="str">
        <f t="shared" si="4"/>
        <v>Bajo</v>
      </c>
    </row>
    <row r="292" spans="1:9" x14ac:dyDescent="0.25">
      <c r="A292" t="s">
        <v>506</v>
      </c>
      <c r="B292" t="s">
        <v>507</v>
      </c>
      <c r="C292">
        <v>4.5999999999999996</v>
      </c>
      <c r="D292">
        <v>10795</v>
      </c>
      <c r="E292">
        <v>21</v>
      </c>
      <c r="F292">
        <v>2012</v>
      </c>
      <c r="G292" t="s">
        <v>9</v>
      </c>
      <c r="H292" t="str">
        <f>+CONCATENATE(A292," ",B292)</f>
        <v>The Power of Habit: Why We Do What We Do in Life and Business Charles Duhigg</v>
      </c>
      <c r="I292" t="str">
        <f t="shared" si="4"/>
        <v>Bajo</v>
      </c>
    </row>
    <row r="293" spans="1:9" x14ac:dyDescent="0.25">
      <c r="A293" t="s">
        <v>508</v>
      </c>
      <c r="B293" t="s">
        <v>237</v>
      </c>
      <c r="C293">
        <v>4.3</v>
      </c>
      <c r="D293">
        <v>10191</v>
      </c>
      <c r="E293">
        <v>18</v>
      </c>
      <c r="F293">
        <v>2018</v>
      </c>
      <c r="G293" t="s">
        <v>12</v>
      </c>
      <c r="H293" t="str">
        <f>+CONCATENATE(A293," ",B293)</f>
        <v>The President Is Missing: A Novel James Patterson</v>
      </c>
      <c r="I293" t="str">
        <f t="shared" si="4"/>
        <v>Bajo</v>
      </c>
    </row>
    <row r="294" spans="1:9" x14ac:dyDescent="0.25">
      <c r="A294" t="s">
        <v>509</v>
      </c>
      <c r="B294" t="s">
        <v>377</v>
      </c>
      <c r="C294">
        <v>4.3</v>
      </c>
      <c r="D294">
        <v>14493</v>
      </c>
      <c r="E294">
        <v>18</v>
      </c>
      <c r="F294">
        <v>2012</v>
      </c>
      <c r="G294" t="s">
        <v>12</v>
      </c>
      <c r="H294" t="str">
        <f>+CONCATENATE(A294," ",B294)</f>
        <v>The Racketeer John Grisham</v>
      </c>
      <c r="I294" t="str">
        <f t="shared" si="4"/>
        <v>Bajo</v>
      </c>
    </row>
    <row r="295" spans="1:9" x14ac:dyDescent="0.25">
      <c r="A295" t="s">
        <v>510</v>
      </c>
      <c r="B295" t="s">
        <v>333</v>
      </c>
      <c r="C295">
        <v>4.5999999999999996</v>
      </c>
      <c r="D295">
        <v>2186</v>
      </c>
      <c r="E295">
        <v>12</v>
      </c>
      <c r="F295">
        <v>2010</v>
      </c>
      <c r="G295" t="s">
        <v>12</v>
      </c>
      <c r="H295" t="str">
        <f>+CONCATENATE(A295," ",B295)</f>
        <v>The Red Pyramid (The Kane Chronicles, Book 1) Rick Riordan</v>
      </c>
      <c r="I295" t="str">
        <f t="shared" si="4"/>
        <v>Bajo</v>
      </c>
    </row>
    <row r="296" spans="1:9" x14ac:dyDescent="0.25">
      <c r="A296" t="s">
        <v>511</v>
      </c>
      <c r="B296" t="s">
        <v>512</v>
      </c>
      <c r="C296">
        <v>4.5999999999999996</v>
      </c>
      <c r="D296">
        <v>1204</v>
      </c>
      <c r="E296">
        <v>14</v>
      </c>
      <c r="F296">
        <v>2010</v>
      </c>
      <c r="G296" t="s">
        <v>9</v>
      </c>
      <c r="H296" t="str">
        <f>+CONCATENATE(A296," ",B296)</f>
        <v>The Road to Serfdom: Text and Documents--The Definitive Edition (The Collected Works of F. A. Hayek, Volume 2) F. A. Hayek</v>
      </c>
      <c r="I296" t="str">
        <f t="shared" si="4"/>
        <v>Bajo</v>
      </c>
    </row>
    <row r="297" spans="1:9" x14ac:dyDescent="0.25">
      <c r="A297" t="s">
        <v>513</v>
      </c>
      <c r="B297" t="s">
        <v>333</v>
      </c>
      <c r="C297">
        <v>4.8</v>
      </c>
      <c r="D297">
        <v>2091</v>
      </c>
      <c r="E297">
        <v>12</v>
      </c>
      <c r="F297">
        <v>2012</v>
      </c>
      <c r="G297" t="s">
        <v>12</v>
      </c>
      <c r="H297" t="str">
        <f>+CONCATENATE(A297," ",B297)</f>
        <v>The Serpent's Shadow (The Kane Chronicles, Book 3) Rick Riordan</v>
      </c>
      <c r="I297" t="str">
        <f t="shared" si="4"/>
        <v>Bajo</v>
      </c>
    </row>
    <row r="298" spans="1:9" x14ac:dyDescent="0.25">
      <c r="A298" t="s">
        <v>514</v>
      </c>
      <c r="B298" t="s">
        <v>515</v>
      </c>
      <c r="C298">
        <v>4.5999999999999996</v>
      </c>
      <c r="D298">
        <v>19720</v>
      </c>
      <c r="E298">
        <v>8</v>
      </c>
      <c r="F298">
        <v>2009</v>
      </c>
      <c r="G298" t="s">
        <v>12</v>
      </c>
      <c r="H298" t="str">
        <f>+CONCATENATE(A298," ",B298)</f>
        <v>The Shack: Where Tragedy Confronts Eternity William P. Young</v>
      </c>
      <c r="I298" t="str">
        <f t="shared" si="4"/>
        <v>Bajo</v>
      </c>
    </row>
    <row r="299" spans="1:9" x14ac:dyDescent="0.25">
      <c r="A299" t="s">
        <v>516</v>
      </c>
      <c r="B299" t="s">
        <v>75</v>
      </c>
      <c r="C299">
        <v>4.5999999999999996</v>
      </c>
      <c r="D299">
        <v>2122</v>
      </c>
      <c r="E299">
        <v>0</v>
      </c>
      <c r="F299">
        <v>2010</v>
      </c>
      <c r="G299" t="s">
        <v>12</v>
      </c>
      <c r="H299" t="str">
        <f>+CONCATENATE(A299," ",B299)</f>
        <v>The Short Second Life of Bree Tanner: An Eclipse Novella (The Twilight Saga) Stephenie Meyer</v>
      </c>
      <c r="I299" t="str">
        <f t="shared" si="4"/>
        <v>Bajo</v>
      </c>
    </row>
    <row r="300" spans="1:9" x14ac:dyDescent="0.25">
      <c r="A300" t="s">
        <v>517</v>
      </c>
      <c r="B300" t="s">
        <v>518</v>
      </c>
      <c r="C300">
        <v>4.5</v>
      </c>
      <c r="D300">
        <v>27536</v>
      </c>
      <c r="E300">
        <v>14</v>
      </c>
      <c r="F300">
        <v>2019</v>
      </c>
      <c r="G300" t="s">
        <v>12</v>
      </c>
      <c r="H300" t="str">
        <f>+CONCATENATE(A300," ",B300)</f>
        <v>The Silent Patient Alex Michaelides</v>
      </c>
      <c r="I300" t="str">
        <f t="shared" si="4"/>
        <v>Bajo</v>
      </c>
    </row>
    <row r="301" spans="1:9" x14ac:dyDescent="0.25">
      <c r="A301" t="s">
        <v>519</v>
      </c>
      <c r="B301" t="s">
        <v>333</v>
      </c>
      <c r="C301">
        <v>4.8</v>
      </c>
      <c r="D301">
        <v>4290</v>
      </c>
      <c r="E301">
        <v>10</v>
      </c>
      <c r="F301">
        <v>2011</v>
      </c>
      <c r="G301" t="s">
        <v>12</v>
      </c>
      <c r="H301" t="str">
        <f>+CONCATENATE(A301," ",B301)</f>
        <v>The Son of Neptune (Heroes of Olympus, Book 2) Rick Riordan</v>
      </c>
      <c r="I301" t="str">
        <f t="shared" si="4"/>
        <v>Bajo</v>
      </c>
    </row>
    <row r="302" spans="1:9" x14ac:dyDescent="0.25">
      <c r="A302" t="s">
        <v>520</v>
      </c>
      <c r="B302" t="s">
        <v>521</v>
      </c>
      <c r="C302">
        <v>4.5999999999999996</v>
      </c>
      <c r="D302">
        <v>26490</v>
      </c>
      <c r="E302">
        <v>15</v>
      </c>
      <c r="F302">
        <v>2017</v>
      </c>
      <c r="G302" t="s">
        <v>9</v>
      </c>
      <c r="H302" t="str">
        <f>+CONCATENATE(A302," ",B302)</f>
        <v>The Subtle Art of Not Giving a F*ck: A Counterintuitive Approach to Living a Good Life Mark Manson</v>
      </c>
      <c r="I302" t="str">
        <f t="shared" si="4"/>
        <v>Bajo</v>
      </c>
    </row>
    <row r="303" spans="1:9" x14ac:dyDescent="0.25">
      <c r="A303" t="s">
        <v>522</v>
      </c>
      <c r="B303" t="s">
        <v>301</v>
      </c>
      <c r="C303">
        <v>4.7</v>
      </c>
      <c r="D303">
        <v>5487</v>
      </c>
      <c r="E303">
        <v>9</v>
      </c>
      <c r="F303">
        <v>2017</v>
      </c>
      <c r="G303" t="s">
        <v>9</v>
      </c>
      <c r="H303" t="str">
        <f>+CONCATENATE(A303," ",B303)</f>
        <v>The Sun and Her Flowers Rupi Kaur</v>
      </c>
      <c r="I303" t="str">
        <f t="shared" si="4"/>
        <v>Bajo</v>
      </c>
    </row>
    <row r="304" spans="1:9" x14ac:dyDescent="0.25">
      <c r="A304" t="s">
        <v>523</v>
      </c>
      <c r="B304" t="s">
        <v>80</v>
      </c>
      <c r="C304">
        <v>4.7</v>
      </c>
      <c r="D304">
        <v>6377</v>
      </c>
      <c r="E304">
        <v>7</v>
      </c>
      <c r="F304">
        <v>2012</v>
      </c>
      <c r="G304" t="s">
        <v>12</v>
      </c>
      <c r="H304" t="str">
        <f>+CONCATENATE(A304," ",B304)</f>
        <v>The Third Wheel (Diary of a Wimpy Kid, Book 7) Jeff Kinney</v>
      </c>
      <c r="I304" t="str">
        <f t="shared" si="4"/>
        <v>Bajo</v>
      </c>
    </row>
    <row r="305" spans="1:9" x14ac:dyDescent="0.25">
      <c r="A305" t="s">
        <v>524</v>
      </c>
      <c r="B305" t="s">
        <v>333</v>
      </c>
      <c r="C305">
        <v>4.7</v>
      </c>
      <c r="D305">
        <v>1463</v>
      </c>
      <c r="E305">
        <v>10</v>
      </c>
      <c r="F305">
        <v>2011</v>
      </c>
      <c r="G305" t="s">
        <v>12</v>
      </c>
      <c r="H305" t="str">
        <f>+CONCATENATE(A305," ",B305)</f>
        <v>The Throne of Fire (The Kane Chronicles, Book 2) Rick Riordan</v>
      </c>
      <c r="I305" t="str">
        <f t="shared" si="4"/>
        <v>Bajo</v>
      </c>
    </row>
    <row r="306" spans="1:9" x14ac:dyDescent="0.25">
      <c r="A306" t="s">
        <v>525</v>
      </c>
      <c r="B306" t="s">
        <v>526</v>
      </c>
      <c r="C306">
        <v>4.4000000000000004</v>
      </c>
      <c r="D306">
        <v>3759</v>
      </c>
      <c r="E306">
        <v>6</v>
      </c>
      <c r="F306">
        <v>2009</v>
      </c>
      <c r="G306" t="s">
        <v>12</v>
      </c>
      <c r="H306" t="str">
        <f>+CONCATENATE(A306," ",B306)</f>
        <v>The Time Traveler's Wife Audrey Niffenegger</v>
      </c>
      <c r="I306" t="str">
        <f t="shared" si="4"/>
        <v>Bajo</v>
      </c>
    </row>
    <row r="307" spans="1:9" x14ac:dyDescent="0.25">
      <c r="A307" t="s">
        <v>527</v>
      </c>
      <c r="B307" t="s">
        <v>103</v>
      </c>
      <c r="C307">
        <v>4.4000000000000004</v>
      </c>
      <c r="D307">
        <v>3503</v>
      </c>
      <c r="E307">
        <v>9</v>
      </c>
      <c r="F307">
        <v>2009</v>
      </c>
      <c r="G307" t="s">
        <v>9</v>
      </c>
      <c r="H307" t="str">
        <f>+CONCATENATE(A307," ",B307)</f>
        <v>The Tipping Point: How Little Things Can Make a Big Difference Malcolm Gladwell</v>
      </c>
      <c r="I307" t="str">
        <f t="shared" si="4"/>
        <v>Bajo</v>
      </c>
    </row>
    <row r="308" spans="1:9" x14ac:dyDescent="0.25">
      <c r="A308" t="s">
        <v>528</v>
      </c>
      <c r="B308" t="s">
        <v>529</v>
      </c>
      <c r="C308">
        <v>4.7</v>
      </c>
      <c r="D308">
        <v>11550</v>
      </c>
      <c r="E308">
        <v>10</v>
      </c>
      <c r="F308">
        <v>2019</v>
      </c>
      <c r="G308" t="s">
        <v>9</v>
      </c>
      <c r="H308" t="str">
        <f>+CONCATENATE(A308," ",B308)</f>
        <v>The Total Money Makeover: Classic Edition: A Proven Plan for Financial Fitness Dave Ramsey</v>
      </c>
      <c r="I308" t="str">
        <f t="shared" si="4"/>
        <v>Bajo</v>
      </c>
    </row>
    <row r="309" spans="1:9" x14ac:dyDescent="0.25">
      <c r="A309" t="s">
        <v>530</v>
      </c>
      <c r="B309" t="s">
        <v>75</v>
      </c>
      <c r="C309">
        <v>4.7</v>
      </c>
      <c r="D309">
        <v>3801</v>
      </c>
      <c r="E309">
        <v>82</v>
      </c>
      <c r="F309">
        <v>2009</v>
      </c>
      <c r="G309" t="s">
        <v>12</v>
      </c>
      <c r="H309" t="str">
        <f>+CONCATENATE(A309," ",B309)</f>
        <v>The Twilight Saga Collection Stephenie Meyer</v>
      </c>
      <c r="I309" t="str">
        <f t="shared" si="4"/>
        <v>Alto</v>
      </c>
    </row>
    <row r="310" spans="1:9" x14ac:dyDescent="0.25">
      <c r="A310" t="s">
        <v>531</v>
      </c>
      <c r="B310" t="s">
        <v>80</v>
      </c>
      <c r="C310">
        <v>4.8</v>
      </c>
      <c r="D310">
        <v>3796</v>
      </c>
      <c r="E310">
        <v>12</v>
      </c>
      <c r="F310">
        <v>2010</v>
      </c>
      <c r="G310" t="s">
        <v>12</v>
      </c>
      <c r="H310" t="str">
        <f>+CONCATENATE(A310," ",B310)</f>
        <v>The Ugly Truth (Diary of a Wimpy Kid, Book 5) Jeff Kinney</v>
      </c>
      <c r="I310" t="str">
        <f t="shared" si="4"/>
        <v>Bajo</v>
      </c>
    </row>
    <row r="311" spans="1:9" x14ac:dyDescent="0.25">
      <c r="A311" t="s">
        <v>532</v>
      </c>
      <c r="B311" t="s">
        <v>533</v>
      </c>
      <c r="C311">
        <v>4.7</v>
      </c>
      <c r="D311">
        <v>9030</v>
      </c>
      <c r="E311">
        <v>10</v>
      </c>
      <c r="F311">
        <v>2019</v>
      </c>
      <c r="G311" t="s">
        <v>9</v>
      </c>
      <c r="H311" t="str">
        <f>+CONCATENATE(A311," ",B311)</f>
        <v>The Unofficial Harry Potter Cookbook: From Cauldron Cakes to Knickerbocker Glory--More Than 150 Magical Recipes for… Dinah Bucholz</v>
      </c>
      <c r="I311" t="str">
        <f t="shared" si="4"/>
        <v>Bajo</v>
      </c>
    </row>
    <row r="312" spans="1:9" x14ac:dyDescent="0.25">
      <c r="A312" t="s">
        <v>534</v>
      </c>
      <c r="B312" t="s">
        <v>535</v>
      </c>
      <c r="C312">
        <v>4.9000000000000004</v>
      </c>
      <c r="D312">
        <v>19546</v>
      </c>
      <c r="E312">
        <v>5</v>
      </c>
      <c r="F312">
        <v>2013</v>
      </c>
      <c r="G312" t="s">
        <v>12</v>
      </c>
      <c r="H312" t="str">
        <f>+CONCATENATE(A312," ",B312)</f>
        <v>The Very Hungry Caterpillar Eric Carle</v>
      </c>
      <c r="I312" t="str">
        <f t="shared" si="4"/>
        <v>Bajo</v>
      </c>
    </row>
    <row r="313" spans="1:9" x14ac:dyDescent="0.25">
      <c r="A313" t="s">
        <v>536</v>
      </c>
      <c r="B313" t="s">
        <v>537</v>
      </c>
      <c r="C313">
        <v>4.5999999999999996</v>
      </c>
      <c r="D313">
        <v>7508</v>
      </c>
      <c r="E313">
        <v>16</v>
      </c>
      <c r="F313">
        <v>2015</v>
      </c>
      <c r="G313" t="s">
        <v>9</v>
      </c>
      <c r="H313" t="str">
        <f>+CONCATENATE(A313," ",B313)</f>
        <v>The Whole30: The 30-Day Guide to Total Health and Food Freedom Melissa Hartwig Urban</v>
      </c>
      <c r="I313" t="str">
        <f t="shared" si="4"/>
        <v>Bajo</v>
      </c>
    </row>
    <row r="314" spans="1:9" x14ac:dyDescent="0.25">
      <c r="A314" t="s">
        <v>538</v>
      </c>
      <c r="B314" t="s">
        <v>539</v>
      </c>
      <c r="C314">
        <v>4.9000000000000004</v>
      </c>
      <c r="D314">
        <v>8842</v>
      </c>
      <c r="E314">
        <v>10</v>
      </c>
      <c r="F314">
        <v>2016</v>
      </c>
      <c r="G314" t="s">
        <v>12</v>
      </c>
      <c r="H314" t="str">
        <f>+CONCATENATE(A314," ",B314)</f>
        <v>The Wonderful Things You Will Be Emily Winfield Martin</v>
      </c>
      <c r="I314" t="str">
        <f t="shared" si="4"/>
        <v>Bajo</v>
      </c>
    </row>
    <row r="315" spans="1:9" x14ac:dyDescent="0.25">
      <c r="A315" s="1" t="s">
        <v>543</v>
      </c>
      <c r="B315" s="1"/>
      <c r="C315" s="2">
        <f>+AVERAGE(C3:C314)</f>
        <v>4.6060897435897408</v>
      </c>
      <c r="D315" s="2"/>
      <c r="E315" s="2">
        <f>+AVERAGE(E3:E314)</f>
        <v>13.028846153846153</v>
      </c>
    </row>
    <row r="316" spans="1:9" x14ac:dyDescent="0.25">
      <c r="A316" s="1" t="s">
        <v>544</v>
      </c>
      <c r="B316" s="1"/>
      <c r="C316" s="2">
        <f>+_xlfn.STDEV.P(C3:C314)</f>
        <v>0.23106796013835049</v>
      </c>
      <c r="D316" s="2"/>
      <c r="E316" s="2">
        <f>+_xlfn.STDEV.P(E3:E314)</f>
        <v>10.344814814216537</v>
      </c>
    </row>
    <row r="317" spans="1:9" x14ac:dyDescent="0.25">
      <c r="A317" s="1" t="s">
        <v>546</v>
      </c>
      <c r="B317" s="1"/>
      <c r="C317" s="2">
        <f>+MIN(C3:C314)</f>
        <v>3.3</v>
      </c>
      <c r="D317" s="2"/>
      <c r="E317" s="2">
        <f>+MIN(E3:E314)</f>
        <v>0</v>
      </c>
    </row>
    <row r="318" spans="1:9" x14ac:dyDescent="0.25">
      <c r="A318" s="1" t="s">
        <v>545</v>
      </c>
      <c r="B318" s="1"/>
      <c r="C318" s="2">
        <f>+MAX(C3:C314)</f>
        <v>4.9000000000000004</v>
      </c>
      <c r="D318" s="2"/>
      <c r="E318" s="2">
        <f>+MAX(E3:E314)</f>
        <v>105</v>
      </c>
    </row>
  </sheetData>
  <sheetProtection formatCells="0" formatColumns="0" formatRows="0" insertColumns="0" insertRows="0" insertHyperlinks="0" deleteColumns="0" deleteRows="0" sort="0" autoFilter="0" pivotTables="0"/>
  <mergeCells count="4">
    <mergeCell ref="A315:B315"/>
    <mergeCell ref="A316:B316"/>
    <mergeCell ref="A317:B317"/>
    <mergeCell ref="A318:B318"/>
  </mergeCells>
  <conditionalFormatting sqref="H2:H314 H493:H1048576 I2">
    <cfRule type="duplicateValues" dxfId="5"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282D-38C0-4453-BE81-B8B840E6A588}">
  <dimension ref="A1:I18"/>
  <sheetViews>
    <sheetView workbookViewId="0">
      <selection activeCell="A40" sqref="A40"/>
    </sheetView>
  </sheetViews>
  <sheetFormatPr baseColWidth="10" defaultRowHeight="15" x14ac:dyDescent="0.25"/>
  <cols>
    <col min="1" max="1" width="32.85546875" bestFit="1" customWidth="1"/>
    <col min="2" max="2" width="17.7109375" bestFit="1" customWidth="1"/>
    <col min="3" max="3" width="19" bestFit="1" customWidth="1"/>
    <col min="4" max="4" width="25.42578125" bestFit="1" customWidth="1"/>
    <col min="5" max="5" width="12.7109375" bestFit="1" customWidth="1"/>
    <col min="6" max="6" width="15.85546875" bestFit="1" customWidth="1"/>
    <col min="7" max="7" width="12.85546875" bestFit="1" customWidth="1"/>
    <col min="8" max="8" width="13.5703125" bestFit="1" customWidth="1"/>
    <col min="9" max="9" width="14.42578125" bestFit="1" customWidth="1"/>
  </cols>
  <sheetData>
    <row r="1" spans="1:9" x14ac:dyDescent="0.25">
      <c r="A1" t="s">
        <v>548</v>
      </c>
    </row>
    <row r="2" spans="1:9" ht="15.75" thickBot="1" x14ac:dyDescent="0.3"/>
    <row r="3" spans="1:9" x14ac:dyDescent="0.25">
      <c r="A3" s="7" t="s">
        <v>549</v>
      </c>
      <c r="B3" s="7"/>
    </row>
    <row r="4" spans="1:9" x14ac:dyDescent="0.25">
      <c r="A4" s="4" t="s">
        <v>550</v>
      </c>
      <c r="B4" s="4">
        <v>3.4859385325019199E-2</v>
      </c>
    </row>
    <row r="5" spans="1:9" x14ac:dyDescent="0.25">
      <c r="A5" s="4" t="s">
        <v>551</v>
      </c>
      <c r="B5" s="4">
        <v>1.2151767452381638E-3</v>
      </c>
    </row>
    <row r="6" spans="1:9" x14ac:dyDescent="0.25">
      <c r="A6" s="4" t="s">
        <v>552</v>
      </c>
      <c r="B6" s="4">
        <v>-2.0171365986283792E-3</v>
      </c>
    </row>
    <row r="7" spans="1:9" x14ac:dyDescent="0.25">
      <c r="A7" s="4" t="s">
        <v>553</v>
      </c>
      <c r="B7" s="4">
        <v>0.23198419352967456</v>
      </c>
    </row>
    <row r="8" spans="1:9" ht="15.75" thickBot="1" x14ac:dyDescent="0.3">
      <c r="A8" s="5" t="s">
        <v>554</v>
      </c>
      <c r="B8" s="5">
        <v>311</v>
      </c>
    </row>
    <row r="10" spans="1:9" ht="15.75" thickBot="1" x14ac:dyDescent="0.3">
      <c r="A10" t="s">
        <v>555</v>
      </c>
    </row>
    <row r="11" spans="1:9" x14ac:dyDescent="0.25">
      <c r="A11" s="6"/>
      <c r="B11" s="6" t="s">
        <v>560</v>
      </c>
      <c r="C11" s="6" t="s">
        <v>561</v>
      </c>
      <c r="D11" s="6" t="s">
        <v>562</v>
      </c>
      <c r="E11" s="6" t="s">
        <v>563</v>
      </c>
      <c r="F11" s="6" t="s">
        <v>564</v>
      </c>
    </row>
    <row r="12" spans="1:9" x14ac:dyDescent="0.25">
      <c r="A12" s="4" t="s">
        <v>556</v>
      </c>
      <c r="B12" s="4">
        <v>1</v>
      </c>
      <c r="C12" s="4">
        <v>2.0232184856521229E-2</v>
      </c>
      <c r="D12" s="4">
        <v>2.0232184856521229E-2</v>
      </c>
      <c r="E12" s="4">
        <v>0.37594645566897628</v>
      </c>
      <c r="F12" s="4">
        <v>0.54023168000334543</v>
      </c>
    </row>
    <row r="13" spans="1:9" x14ac:dyDescent="0.25">
      <c r="A13" s="4" t="s">
        <v>557</v>
      </c>
      <c r="B13" s="4">
        <v>309</v>
      </c>
      <c r="C13" s="4">
        <v>16.629349808712572</v>
      </c>
      <c r="D13" s="4">
        <v>5.3816666047613503E-2</v>
      </c>
      <c r="E13" s="4"/>
      <c r="F13" s="4"/>
    </row>
    <row r="14" spans="1:9" ht="15.75" thickBot="1" x14ac:dyDescent="0.3">
      <c r="A14" s="5" t="s">
        <v>558</v>
      </c>
      <c r="B14" s="5">
        <v>310</v>
      </c>
      <c r="C14" s="5">
        <v>16.649581993569093</v>
      </c>
      <c r="D14" s="5"/>
      <c r="E14" s="5"/>
      <c r="F14" s="5"/>
    </row>
    <row r="15" spans="1:9" ht="15.75" thickBot="1" x14ac:dyDescent="0.3"/>
    <row r="16" spans="1:9" x14ac:dyDescent="0.25">
      <c r="A16" s="6"/>
      <c r="B16" s="6" t="s">
        <v>565</v>
      </c>
      <c r="C16" s="6" t="s">
        <v>553</v>
      </c>
      <c r="D16" s="6" t="s">
        <v>566</v>
      </c>
      <c r="E16" s="6" t="s">
        <v>567</v>
      </c>
      <c r="F16" s="6" t="s">
        <v>568</v>
      </c>
      <c r="G16" s="6" t="s">
        <v>569</v>
      </c>
      <c r="H16" s="6" t="s">
        <v>570</v>
      </c>
      <c r="I16" s="6" t="s">
        <v>571</v>
      </c>
    </row>
    <row r="17" spans="1:9" x14ac:dyDescent="0.25">
      <c r="A17" s="4" t="s">
        <v>559</v>
      </c>
      <c r="B17" s="4">
        <v>4.6159463157699934</v>
      </c>
      <c r="C17" s="4">
        <v>2.1155141316887258E-2</v>
      </c>
      <c r="D17" s="4">
        <v>218.19501210730641</v>
      </c>
      <c r="E17" s="4">
        <v>0</v>
      </c>
      <c r="F17" s="4">
        <v>4.5743199601251625</v>
      </c>
      <c r="G17" s="4">
        <v>4.6575726714148242</v>
      </c>
      <c r="H17" s="4">
        <v>4.5743199601251625</v>
      </c>
      <c r="I17" s="4">
        <v>4.6575726714148242</v>
      </c>
    </row>
    <row r="18" spans="1:9" ht="15.75" thickBot="1" x14ac:dyDescent="0.3">
      <c r="A18" s="5">
        <v>8</v>
      </c>
      <c r="B18" s="5">
        <v>-7.787291605789035E-4</v>
      </c>
      <c r="C18" s="5">
        <v>1.2700576664627114E-3</v>
      </c>
      <c r="D18" s="5">
        <v>-0.61314472652865704</v>
      </c>
      <c r="E18" s="5">
        <v>0.54023168000284716</v>
      </c>
      <c r="F18" s="5">
        <v>-3.2777846536007809E-3</v>
      </c>
      <c r="G18" s="5">
        <v>1.7203263324429736E-3</v>
      </c>
      <c r="H18" s="5">
        <v>-3.2777846536007809E-3</v>
      </c>
      <c r="I18" s="5">
        <v>1.7203263324429736E-3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5FB4E-8E20-4696-A78F-F18A7034936A}">
  <dimension ref="A1:E313"/>
  <sheetViews>
    <sheetView workbookViewId="0">
      <selection activeCell="C2" sqref="C2"/>
    </sheetView>
  </sheetViews>
  <sheetFormatPr baseColWidth="10" defaultRowHeight="15" x14ac:dyDescent="0.25"/>
  <sheetData>
    <row r="1" spans="1:2" x14ac:dyDescent="0.25">
      <c r="A1" t="s">
        <v>2</v>
      </c>
      <c r="B1" t="s">
        <v>4</v>
      </c>
    </row>
    <row r="2" spans="1:2" x14ac:dyDescent="0.25">
      <c r="A2">
        <v>4.7</v>
      </c>
      <c r="B2">
        <v>8</v>
      </c>
    </row>
    <row r="3" spans="1:2" x14ac:dyDescent="0.25">
      <c r="A3">
        <v>4.5999999999999996</v>
      </c>
      <c r="B3">
        <v>22</v>
      </c>
    </row>
    <row r="4" spans="1:2" x14ac:dyDescent="0.25">
      <c r="A4">
        <v>4.7</v>
      </c>
      <c r="B4">
        <v>15</v>
      </c>
    </row>
    <row r="5" spans="1:2" x14ac:dyDescent="0.25">
      <c r="A5">
        <v>4.7</v>
      </c>
      <c r="B5">
        <v>6</v>
      </c>
    </row>
    <row r="6" spans="1:2" x14ac:dyDescent="0.25">
      <c r="A6">
        <v>4.8</v>
      </c>
      <c r="B6">
        <v>12</v>
      </c>
    </row>
    <row r="7" spans="1:2" x14ac:dyDescent="0.25">
      <c r="A7">
        <v>4.4000000000000004</v>
      </c>
      <c r="B7">
        <v>11</v>
      </c>
    </row>
    <row r="8" spans="1:2" x14ac:dyDescent="0.25">
      <c r="A8">
        <v>4.7</v>
      </c>
      <c r="B8">
        <v>30</v>
      </c>
    </row>
    <row r="9" spans="1:2" x14ac:dyDescent="0.25">
      <c r="A9">
        <v>4.7</v>
      </c>
      <c r="B9">
        <v>15</v>
      </c>
    </row>
    <row r="10" spans="1:2" x14ac:dyDescent="0.25">
      <c r="A10">
        <v>4.7</v>
      </c>
      <c r="B10">
        <v>3</v>
      </c>
    </row>
    <row r="11" spans="1:2" x14ac:dyDescent="0.25">
      <c r="A11">
        <v>4.5999999999999996</v>
      </c>
      <c r="B11">
        <v>8</v>
      </c>
    </row>
    <row r="12" spans="1:2" x14ac:dyDescent="0.25">
      <c r="A12">
        <v>4.5999999999999996</v>
      </c>
      <c r="B12">
        <v>2</v>
      </c>
    </row>
    <row r="13" spans="1:2" x14ac:dyDescent="0.25">
      <c r="A13">
        <v>4.5999999999999996</v>
      </c>
      <c r="B13">
        <v>32</v>
      </c>
    </row>
    <row r="14" spans="1:2" x14ac:dyDescent="0.25">
      <c r="A14">
        <v>4.5</v>
      </c>
      <c r="B14">
        <v>5</v>
      </c>
    </row>
    <row r="15" spans="1:2" x14ac:dyDescent="0.25">
      <c r="A15">
        <v>4.5999999999999996</v>
      </c>
      <c r="B15">
        <v>17</v>
      </c>
    </row>
    <row r="16" spans="1:2" x14ac:dyDescent="0.25">
      <c r="A16">
        <v>4.5</v>
      </c>
      <c r="B16">
        <v>4</v>
      </c>
    </row>
    <row r="17" spans="1:5" x14ac:dyDescent="0.25">
      <c r="A17">
        <v>4.5999999999999996</v>
      </c>
      <c r="B17">
        <v>6</v>
      </c>
    </row>
    <row r="18" spans="1:5" x14ac:dyDescent="0.25">
      <c r="A18">
        <v>4.4000000000000004</v>
      </c>
      <c r="B18">
        <v>6</v>
      </c>
    </row>
    <row r="19" spans="1:5" x14ac:dyDescent="0.25">
      <c r="A19">
        <v>4.5</v>
      </c>
      <c r="B19">
        <v>8</v>
      </c>
    </row>
    <row r="20" spans="1:5" x14ac:dyDescent="0.25">
      <c r="A20">
        <v>4.8</v>
      </c>
      <c r="B20">
        <v>13</v>
      </c>
      <c r="D20">
        <f>+CORREL(B2:B313,A2:A313)</f>
        <v>-3.5472154209271314E-2</v>
      </c>
      <c r="E20" s="3" t="s">
        <v>547</v>
      </c>
    </row>
    <row r="21" spans="1:5" x14ac:dyDescent="0.25">
      <c r="A21">
        <v>4.5999999999999996</v>
      </c>
      <c r="B21">
        <v>14</v>
      </c>
    </row>
    <row r="22" spans="1:5" x14ac:dyDescent="0.25">
      <c r="A22">
        <v>3.9</v>
      </c>
      <c r="B22">
        <v>13</v>
      </c>
    </row>
    <row r="23" spans="1:5" x14ac:dyDescent="0.25">
      <c r="A23">
        <v>4.5999999999999996</v>
      </c>
      <c r="B23">
        <v>9</v>
      </c>
    </row>
    <row r="24" spans="1:5" x14ac:dyDescent="0.25">
      <c r="A24">
        <v>4.3</v>
      </c>
      <c r="B24">
        <v>13</v>
      </c>
    </row>
    <row r="25" spans="1:5" x14ac:dyDescent="0.25">
      <c r="A25">
        <v>4.5999999999999996</v>
      </c>
      <c r="B25">
        <v>5</v>
      </c>
    </row>
    <row r="26" spans="1:5" x14ac:dyDescent="0.25">
      <c r="A26">
        <v>4.7</v>
      </c>
      <c r="B26">
        <v>9</v>
      </c>
    </row>
    <row r="27" spans="1:5" x14ac:dyDescent="0.25">
      <c r="A27">
        <v>4.2</v>
      </c>
      <c r="B27">
        <v>14</v>
      </c>
    </row>
    <row r="28" spans="1:5" x14ac:dyDescent="0.25">
      <c r="A28">
        <v>4.5999999999999996</v>
      </c>
      <c r="B28">
        <v>5</v>
      </c>
    </row>
    <row r="29" spans="1:5" x14ac:dyDescent="0.25">
      <c r="A29">
        <v>4.5999999999999996</v>
      </c>
      <c r="B29">
        <v>11</v>
      </c>
    </row>
    <row r="30" spans="1:5" x14ac:dyDescent="0.25">
      <c r="A30">
        <v>4.8</v>
      </c>
      <c r="B30">
        <v>24</v>
      </c>
    </row>
    <row r="31" spans="1:5" x14ac:dyDescent="0.25">
      <c r="A31">
        <v>4.7</v>
      </c>
      <c r="B31">
        <v>21</v>
      </c>
    </row>
    <row r="32" spans="1:5" x14ac:dyDescent="0.25">
      <c r="A32">
        <v>4.8</v>
      </c>
      <c r="B32">
        <v>11</v>
      </c>
    </row>
    <row r="33" spans="1:2" x14ac:dyDescent="0.25">
      <c r="A33">
        <v>4.8</v>
      </c>
      <c r="B33">
        <v>15</v>
      </c>
    </row>
    <row r="34" spans="1:2" x14ac:dyDescent="0.25">
      <c r="A34">
        <v>4.7</v>
      </c>
      <c r="B34">
        <v>13</v>
      </c>
    </row>
    <row r="35" spans="1:2" x14ac:dyDescent="0.25">
      <c r="A35">
        <v>4.7</v>
      </c>
      <c r="B35">
        <v>18</v>
      </c>
    </row>
    <row r="36" spans="1:2" x14ac:dyDescent="0.25">
      <c r="A36">
        <v>4.5999999999999996</v>
      </c>
      <c r="B36">
        <v>13</v>
      </c>
    </row>
    <row r="37" spans="1:2" x14ac:dyDescent="0.25">
      <c r="A37">
        <v>4.5</v>
      </c>
      <c r="B37">
        <v>8</v>
      </c>
    </row>
    <row r="38" spans="1:2" x14ac:dyDescent="0.25">
      <c r="A38">
        <v>4.9000000000000004</v>
      </c>
      <c r="B38">
        <v>5</v>
      </c>
    </row>
    <row r="39" spans="1:2" x14ac:dyDescent="0.25">
      <c r="A39">
        <v>4.8</v>
      </c>
      <c r="B39">
        <v>0</v>
      </c>
    </row>
    <row r="40" spans="1:2" x14ac:dyDescent="0.25">
      <c r="A40">
        <v>4.5999999999999996</v>
      </c>
      <c r="B40">
        <v>4</v>
      </c>
    </row>
    <row r="41" spans="1:2" x14ac:dyDescent="0.25">
      <c r="A41">
        <v>4.8</v>
      </c>
      <c r="B41">
        <v>18</v>
      </c>
    </row>
    <row r="42" spans="1:2" x14ac:dyDescent="0.25">
      <c r="A42">
        <v>4.5</v>
      </c>
      <c r="B42">
        <v>28</v>
      </c>
    </row>
    <row r="43" spans="1:2" x14ac:dyDescent="0.25">
      <c r="A43">
        <v>4.7</v>
      </c>
      <c r="B43">
        <v>11</v>
      </c>
    </row>
    <row r="44" spans="1:2" x14ac:dyDescent="0.25">
      <c r="A44">
        <v>4.7</v>
      </c>
      <c r="B44">
        <v>16</v>
      </c>
    </row>
    <row r="45" spans="1:2" x14ac:dyDescent="0.25">
      <c r="A45">
        <v>4.7</v>
      </c>
      <c r="B45">
        <v>14</v>
      </c>
    </row>
    <row r="46" spans="1:2" x14ac:dyDescent="0.25">
      <c r="A46">
        <v>4.3</v>
      </c>
      <c r="B46">
        <v>8</v>
      </c>
    </row>
    <row r="47" spans="1:2" x14ac:dyDescent="0.25">
      <c r="A47">
        <v>4.8</v>
      </c>
      <c r="B47">
        <v>4</v>
      </c>
    </row>
    <row r="48" spans="1:2" x14ac:dyDescent="0.25">
      <c r="A48">
        <v>4.8</v>
      </c>
      <c r="B48">
        <v>5</v>
      </c>
    </row>
    <row r="49" spans="1:2" x14ac:dyDescent="0.25">
      <c r="A49">
        <v>4.5999999999999996</v>
      </c>
      <c r="B49">
        <v>11</v>
      </c>
    </row>
    <row r="50" spans="1:2" x14ac:dyDescent="0.25">
      <c r="A50">
        <v>4.8</v>
      </c>
      <c r="B50">
        <v>10</v>
      </c>
    </row>
    <row r="51" spans="1:2" x14ac:dyDescent="0.25">
      <c r="A51">
        <v>4.4000000000000004</v>
      </c>
      <c r="B51">
        <v>13</v>
      </c>
    </row>
    <row r="52" spans="1:2" x14ac:dyDescent="0.25">
      <c r="A52">
        <v>4.5999999999999996</v>
      </c>
      <c r="B52">
        <v>4</v>
      </c>
    </row>
    <row r="53" spans="1:2" x14ac:dyDescent="0.25">
      <c r="A53">
        <v>4.3</v>
      </c>
      <c r="B53">
        <v>8</v>
      </c>
    </row>
    <row r="54" spans="1:2" x14ac:dyDescent="0.25">
      <c r="A54">
        <v>4.2</v>
      </c>
      <c r="B54">
        <v>4</v>
      </c>
    </row>
    <row r="55" spans="1:2" x14ac:dyDescent="0.25">
      <c r="A55">
        <v>4.8</v>
      </c>
      <c r="B55">
        <v>5</v>
      </c>
    </row>
    <row r="56" spans="1:2" x14ac:dyDescent="0.25">
      <c r="A56">
        <v>4.5999999999999996</v>
      </c>
      <c r="B56">
        <v>17</v>
      </c>
    </row>
    <row r="57" spans="1:2" x14ac:dyDescent="0.25">
      <c r="A57">
        <v>4.5999999999999996</v>
      </c>
      <c r="B57">
        <v>15</v>
      </c>
    </row>
    <row r="58" spans="1:2" x14ac:dyDescent="0.25">
      <c r="A58">
        <v>4.5</v>
      </c>
      <c r="B58">
        <v>105</v>
      </c>
    </row>
    <row r="59" spans="1:2" x14ac:dyDescent="0.25">
      <c r="A59">
        <v>4.8</v>
      </c>
      <c r="B59">
        <v>0</v>
      </c>
    </row>
    <row r="60" spans="1:2" x14ac:dyDescent="0.25">
      <c r="A60">
        <v>4.8</v>
      </c>
      <c r="B60">
        <v>15</v>
      </c>
    </row>
    <row r="61" spans="1:2" x14ac:dyDescent="0.25">
      <c r="A61">
        <v>4.8</v>
      </c>
      <c r="B61">
        <v>22</v>
      </c>
    </row>
    <row r="62" spans="1:2" x14ac:dyDescent="0.25">
      <c r="A62">
        <v>4.5999999999999996</v>
      </c>
      <c r="B62">
        <v>5</v>
      </c>
    </row>
    <row r="63" spans="1:2" x14ac:dyDescent="0.25">
      <c r="A63">
        <v>4.5999999999999996</v>
      </c>
      <c r="B63">
        <v>15</v>
      </c>
    </row>
    <row r="64" spans="1:2" x14ac:dyDescent="0.25">
      <c r="A64">
        <v>4.5</v>
      </c>
      <c r="B64">
        <v>6</v>
      </c>
    </row>
    <row r="65" spans="1:2" x14ac:dyDescent="0.25">
      <c r="A65">
        <v>4.5999999999999996</v>
      </c>
      <c r="B65">
        <v>6</v>
      </c>
    </row>
    <row r="66" spans="1:2" x14ac:dyDescent="0.25">
      <c r="A66">
        <v>4.7</v>
      </c>
      <c r="B66">
        <v>13</v>
      </c>
    </row>
    <row r="67" spans="1:2" x14ac:dyDescent="0.25">
      <c r="A67">
        <v>4.8</v>
      </c>
      <c r="B67">
        <v>12</v>
      </c>
    </row>
    <row r="68" spans="1:2" x14ac:dyDescent="0.25">
      <c r="A68">
        <v>4.9000000000000004</v>
      </c>
      <c r="B68">
        <v>6</v>
      </c>
    </row>
    <row r="69" spans="1:2" x14ac:dyDescent="0.25">
      <c r="A69">
        <v>4.9000000000000004</v>
      </c>
      <c r="B69">
        <v>8</v>
      </c>
    </row>
    <row r="70" spans="1:2" x14ac:dyDescent="0.25">
      <c r="A70">
        <v>4.9000000000000004</v>
      </c>
      <c r="B70">
        <v>4</v>
      </c>
    </row>
    <row r="71" spans="1:2" x14ac:dyDescent="0.25">
      <c r="A71">
        <v>4.9000000000000004</v>
      </c>
      <c r="B71">
        <v>8</v>
      </c>
    </row>
    <row r="72" spans="1:2" x14ac:dyDescent="0.25">
      <c r="A72">
        <v>4.9000000000000004</v>
      </c>
      <c r="B72">
        <v>8</v>
      </c>
    </row>
    <row r="73" spans="1:2" x14ac:dyDescent="0.25">
      <c r="A73">
        <v>4.9000000000000004</v>
      </c>
      <c r="B73">
        <v>6</v>
      </c>
    </row>
    <row r="74" spans="1:2" x14ac:dyDescent="0.25">
      <c r="A74">
        <v>4.8</v>
      </c>
      <c r="B74">
        <v>20</v>
      </c>
    </row>
    <row r="75" spans="1:2" x14ac:dyDescent="0.25">
      <c r="A75">
        <v>4.5999999999999996</v>
      </c>
      <c r="B75">
        <v>5</v>
      </c>
    </row>
    <row r="76" spans="1:2" x14ac:dyDescent="0.25">
      <c r="A76">
        <v>4.5</v>
      </c>
      <c r="B76">
        <v>16</v>
      </c>
    </row>
    <row r="77" spans="1:2" x14ac:dyDescent="0.25">
      <c r="A77">
        <v>4.5</v>
      </c>
      <c r="B77">
        <v>1</v>
      </c>
    </row>
    <row r="78" spans="1:2" x14ac:dyDescent="0.25">
      <c r="A78">
        <v>4.3</v>
      </c>
      <c r="B78">
        <v>14</v>
      </c>
    </row>
    <row r="79" spans="1:2" x14ac:dyDescent="0.25">
      <c r="A79">
        <v>4.5</v>
      </c>
      <c r="B79">
        <v>9</v>
      </c>
    </row>
    <row r="80" spans="1:2" x14ac:dyDescent="0.25">
      <c r="A80">
        <v>4.7</v>
      </c>
      <c r="B80">
        <v>7</v>
      </c>
    </row>
    <row r="81" spans="1:2" x14ac:dyDescent="0.25">
      <c r="A81">
        <v>4.7</v>
      </c>
      <c r="B81">
        <v>18</v>
      </c>
    </row>
    <row r="82" spans="1:2" x14ac:dyDescent="0.25">
      <c r="A82">
        <v>4.7</v>
      </c>
      <c r="B82">
        <v>15</v>
      </c>
    </row>
    <row r="83" spans="1:2" x14ac:dyDescent="0.25">
      <c r="A83">
        <v>4.7</v>
      </c>
      <c r="B83">
        <v>9</v>
      </c>
    </row>
    <row r="84" spans="1:2" x14ac:dyDescent="0.25">
      <c r="A84">
        <v>4.5999999999999996</v>
      </c>
      <c r="B84">
        <v>8</v>
      </c>
    </row>
    <row r="85" spans="1:2" x14ac:dyDescent="0.25">
      <c r="A85">
        <v>4.7</v>
      </c>
      <c r="B85">
        <v>15</v>
      </c>
    </row>
    <row r="86" spans="1:2" x14ac:dyDescent="0.25">
      <c r="A86">
        <v>4.4000000000000004</v>
      </c>
      <c r="B86">
        <v>2</v>
      </c>
    </row>
    <row r="87" spans="1:2" x14ac:dyDescent="0.25">
      <c r="A87">
        <v>4.4000000000000004</v>
      </c>
      <c r="B87">
        <v>7</v>
      </c>
    </row>
    <row r="88" spans="1:2" x14ac:dyDescent="0.25">
      <c r="A88">
        <v>4.5</v>
      </c>
      <c r="B88">
        <v>11</v>
      </c>
    </row>
    <row r="89" spans="1:2" x14ac:dyDescent="0.25">
      <c r="A89">
        <v>3.8</v>
      </c>
      <c r="B89">
        <v>14</v>
      </c>
    </row>
    <row r="90" spans="1:2" x14ac:dyDescent="0.25">
      <c r="A90">
        <v>4.5</v>
      </c>
      <c r="B90">
        <v>32</v>
      </c>
    </row>
    <row r="91" spans="1:2" x14ac:dyDescent="0.25">
      <c r="A91">
        <v>4.2</v>
      </c>
      <c r="B91">
        <v>6</v>
      </c>
    </row>
    <row r="92" spans="1:2" x14ac:dyDescent="0.25">
      <c r="A92">
        <v>4.7</v>
      </c>
      <c r="B92">
        <v>4</v>
      </c>
    </row>
    <row r="93" spans="1:2" x14ac:dyDescent="0.25">
      <c r="A93">
        <v>4.4000000000000004</v>
      </c>
      <c r="B93">
        <v>9</v>
      </c>
    </row>
    <row r="94" spans="1:2" x14ac:dyDescent="0.25">
      <c r="A94">
        <v>4.7</v>
      </c>
      <c r="B94">
        <v>0</v>
      </c>
    </row>
    <row r="95" spans="1:2" x14ac:dyDescent="0.25">
      <c r="A95">
        <v>4.4000000000000004</v>
      </c>
      <c r="B95">
        <v>9</v>
      </c>
    </row>
    <row r="96" spans="1:2" x14ac:dyDescent="0.25">
      <c r="A96">
        <v>4.5999999999999996</v>
      </c>
      <c r="B96">
        <v>5</v>
      </c>
    </row>
    <row r="97" spans="1:2" x14ac:dyDescent="0.25">
      <c r="A97">
        <v>4.5</v>
      </c>
      <c r="B97">
        <v>20</v>
      </c>
    </row>
    <row r="98" spans="1:2" x14ac:dyDescent="0.25">
      <c r="A98">
        <v>4.5999999999999996</v>
      </c>
      <c r="B98">
        <v>16</v>
      </c>
    </row>
    <row r="99" spans="1:2" x14ac:dyDescent="0.25">
      <c r="A99">
        <v>4.8</v>
      </c>
      <c r="B99">
        <v>4</v>
      </c>
    </row>
    <row r="100" spans="1:2" x14ac:dyDescent="0.25">
      <c r="A100">
        <v>4.5999999999999996</v>
      </c>
      <c r="B100">
        <v>12</v>
      </c>
    </row>
    <row r="101" spans="1:2" x14ac:dyDescent="0.25">
      <c r="A101">
        <v>4.5999999999999996</v>
      </c>
      <c r="B101">
        <v>12</v>
      </c>
    </row>
    <row r="102" spans="1:2" x14ac:dyDescent="0.25">
      <c r="A102">
        <v>4.5999999999999996</v>
      </c>
      <c r="B102">
        <v>11</v>
      </c>
    </row>
    <row r="103" spans="1:2" x14ac:dyDescent="0.25">
      <c r="A103">
        <v>3.6</v>
      </c>
      <c r="B103">
        <v>19</v>
      </c>
    </row>
    <row r="104" spans="1:2" x14ac:dyDescent="0.25">
      <c r="A104">
        <v>4.8</v>
      </c>
      <c r="B104">
        <v>9</v>
      </c>
    </row>
    <row r="105" spans="1:2" x14ac:dyDescent="0.25">
      <c r="A105">
        <v>4.5999999999999996</v>
      </c>
      <c r="B105">
        <v>6</v>
      </c>
    </row>
    <row r="106" spans="1:2" x14ac:dyDescent="0.25">
      <c r="A106">
        <v>4</v>
      </c>
      <c r="B106">
        <v>10</v>
      </c>
    </row>
    <row r="107" spans="1:2" x14ac:dyDescent="0.25">
      <c r="A107">
        <v>4.5999999999999996</v>
      </c>
      <c r="B107">
        <v>6</v>
      </c>
    </row>
    <row r="108" spans="1:2" x14ac:dyDescent="0.25">
      <c r="A108">
        <v>4.5</v>
      </c>
      <c r="B108">
        <v>14</v>
      </c>
    </row>
    <row r="109" spans="1:2" x14ac:dyDescent="0.25">
      <c r="A109">
        <v>4.8</v>
      </c>
      <c r="B109">
        <v>5</v>
      </c>
    </row>
    <row r="110" spans="1:2" x14ac:dyDescent="0.25">
      <c r="A110">
        <v>4.9000000000000004</v>
      </c>
      <c r="B110">
        <v>7</v>
      </c>
    </row>
    <row r="111" spans="1:2" x14ac:dyDescent="0.25">
      <c r="A111">
        <v>4.5999999999999996</v>
      </c>
      <c r="B111">
        <v>10</v>
      </c>
    </row>
    <row r="112" spans="1:2" x14ac:dyDescent="0.25">
      <c r="A112">
        <v>4.4000000000000004</v>
      </c>
      <c r="B112">
        <v>14</v>
      </c>
    </row>
    <row r="113" spans="1:2" x14ac:dyDescent="0.25">
      <c r="A113">
        <v>4.8</v>
      </c>
      <c r="B113">
        <v>7</v>
      </c>
    </row>
    <row r="114" spans="1:2" x14ac:dyDescent="0.25">
      <c r="A114">
        <v>4.9000000000000004</v>
      </c>
      <c r="B114">
        <v>54</v>
      </c>
    </row>
    <row r="115" spans="1:2" x14ac:dyDescent="0.25">
      <c r="A115">
        <v>4.8</v>
      </c>
      <c r="B115">
        <v>11</v>
      </c>
    </row>
    <row r="116" spans="1:2" x14ac:dyDescent="0.25">
      <c r="A116">
        <v>4.9000000000000004</v>
      </c>
      <c r="B116">
        <v>30</v>
      </c>
    </row>
    <row r="117" spans="1:2" x14ac:dyDescent="0.25">
      <c r="A117">
        <v>4</v>
      </c>
      <c r="B117">
        <v>12</v>
      </c>
    </row>
    <row r="118" spans="1:2" x14ac:dyDescent="0.25">
      <c r="A118">
        <v>4.9000000000000004</v>
      </c>
      <c r="B118">
        <v>18</v>
      </c>
    </row>
    <row r="119" spans="1:2" x14ac:dyDescent="0.25">
      <c r="A119">
        <v>4.9000000000000004</v>
      </c>
      <c r="B119">
        <v>30</v>
      </c>
    </row>
    <row r="120" spans="1:2" x14ac:dyDescent="0.25">
      <c r="A120">
        <v>4.9000000000000004</v>
      </c>
      <c r="B120">
        <v>22</v>
      </c>
    </row>
    <row r="121" spans="1:2" x14ac:dyDescent="0.25">
      <c r="A121">
        <v>4.7</v>
      </c>
      <c r="B121">
        <v>9</v>
      </c>
    </row>
    <row r="122" spans="1:2" x14ac:dyDescent="0.25">
      <c r="A122">
        <v>4.8</v>
      </c>
      <c r="B122">
        <v>52</v>
      </c>
    </row>
    <row r="123" spans="1:2" x14ac:dyDescent="0.25">
      <c r="A123">
        <v>4.8</v>
      </c>
      <c r="B123">
        <v>4</v>
      </c>
    </row>
    <row r="124" spans="1:2" x14ac:dyDescent="0.25">
      <c r="A124">
        <v>4.7</v>
      </c>
      <c r="B124">
        <v>10</v>
      </c>
    </row>
    <row r="125" spans="1:2" x14ac:dyDescent="0.25">
      <c r="A125">
        <v>4.4000000000000004</v>
      </c>
      <c r="B125">
        <v>14</v>
      </c>
    </row>
    <row r="126" spans="1:2" x14ac:dyDescent="0.25">
      <c r="A126">
        <v>4.8</v>
      </c>
      <c r="B126">
        <v>22</v>
      </c>
    </row>
    <row r="127" spans="1:2" x14ac:dyDescent="0.25">
      <c r="A127">
        <v>4.7</v>
      </c>
      <c r="B127">
        <v>11</v>
      </c>
    </row>
    <row r="128" spans="1:2" x14ac:dyDescent="0.25">
      <c r="A128">
        <v>4.3</v>
      </c>
      <c r="B128">
        <v>16</v>
      </c>
    </row>
    <row r="129" spans="1:2" x14ac:dyDescent="0.25">
      <c r="A129">
        <v>4.8</v>
      </c>
      <c r="B129">
        <v>15</v>
      </c>
    </row>
    <row r="130" spans="1:2" x14ac:dyDescent="0.25">
      <c r="A130">
        <v>4.9000000000000004</v>
      </c>
      <c r="B130">
        <v>17</v>
      </c>
    </row>
    <row r="131" spans="1:2" x14ac:dyDescent="0.25">
      <c r="A131">
        <v>4.7</v>
      </c>
      <c r="B131">
        <v>17</v>
      </c>
    </row>
    <row r="132" spans="1:2" x14ac:dyDescent="0.25">
      <c r="A132">
        <v>4.8</v>
      </c>
      <c r="B132">
        <v>7</v>
      </c>
    </row>
    <row r="133" spans="1:2" x14ac:dyDescent="0.25">
      <c r="A133">
        <v>4.5999999999999996</v>
      </c>
      <c r="B133">
        <v>7</v>
      </c>
    </row>
    <row r="134" spans="1:2" x14ac:dyDescent="0.25">
      <c r="A134">
        <v>4.8</v>
      </c>
      <c r="B134">
        <v>4</v>
      </c>
    </row>
    <row r="135" spans="1:2" x14ac:dyDescent="0.25">
      <c r="A135">
        <v>4.3</v>
      </c>
      <c r="B135">
        <v>9</v>
      </c>
    </row>
    <row r="136" spans="1:2" x14ac:dyDescent="0.25">
      <c r="A136">
        <v>4.4000000000000004</v>
      </c>
      <c r="B136">
        <v>21</v>
      </c>
    </row>
    <row r="137" spans="1:2" x14ac:dyDescent="0.25">
      <c r="A137">
        <v>4.0999999999999996</v>
      </c>
      <c r="B137">
        <v>14</v>
      </c>
    </row>
    <row r="138" spans="1:2" x14ac:dyDescent="0.25">
      <c r="A138">
        <v>4.5999999999999996</v>
      </c>
      <c r="B138">
        <v>20</v>
      </c>
    </row>
    <row r="139" spans="1:2" x14ac:dyDescent="0.25">
      <c r="A139">
        <v>4.4000000000000004</v>
      </c>
      <c r="B139">
        <v>13</v>
      </c>
    </row>
    <row r="140" spans="1:2" x14ac:dyDescent="0.25">
      <c r="A140">
        <v>4.8</v>
      </c>
      <c r="B140">
        <v>12</v>
      </c>
    </row>
    <row r="141" spans="1:2" x14ac:dyDescent="0.25">
      <c r="A141">
        <v>4.9000000000000004</v>
      </c>
      <c r="B141">
        <v>8</v>
      </c>
    </row>
    <row r="142" spans="1:2" x14ac:dyDescent="0.25">
      <c r="A142">
        <v>4.5999999999999996</v>
      </c>
      <c r="B142">
        <v>0</v>
      </c>
    </row>
    <row r="143" spans="1:2" x14ac:dyDescent="0.25">
      <c r="A143">
        <v>4.5</v>
      </c>
      <c r="B143">
        <v>12</v>
      </c>
    </row>
    <row r="144" spans="1:2" x14ac:dyDescent="0.25">
      <c r="A144">
        <v>4.5999999999999996</v>
      </c>
      <c r="B144">
        <v>17</v>
      </c>
    </row>
    <row r="145" spans="1:2" x14ac:dyDescent="0.25">
      <c r="A145">
        <v>4.5</v>
      </c>
      <c r="B145">
        <v>12</v>
      </c>
    </row>
    <row r="146" spans="1:2" x14ac:dyDescent="0.25">
      <c r="A146">
        <v>4.5999999999999996</v>
      </c>
      <c r="B146">
        <v>25</v>
      </c>
    </row>
    <row r="147" spans="1:2" x14ac:dyDescent="0.25">
      <c r="A147">
        <v>4.7</v>
      </c>
      <c r="B147">
        <v>10</v>
      </c>
    </row>
    <row r="148" spans="1:2" x14ac:dyDescent="0.25">
      <c r="A148">
        <v>4.5999999999999996</v>
      </c>
      <c r="B148">
        <v>6</v>
      </c>
    </row>
    <row r="149" spans="1:2" x14ac:dyDescent="0.25">
      <c r="A149">
        <v>4.5999999999999996</v>
      </c>
      <c r="B149">
        <v>5</v>
      </c>
    </row>
    <row r="150" spans="1:2" x14ac:dyDescent="0.25">
      <c r="A150">
        <v>4.8</v>
      </c>
      <c r="B150">
        <v>6</v>
      </c>
    </row>
    <row r="151" spans="1:2" x14ac:dyDescent="0.25">
      <c r="A151">
        <v>4.8</v>
      </c>
      <c r="B151">
        <v>8</v>
      </c>
    </row>
    <row r="152" spans="1:2" x14ac:dyDescent="0.25">
      <c r="A152">
        <v>4.5</v>
      </c>
      <c r="B152">
        <v>4</v>
      </c>
    </row>
    <row r="153" spans="1:2" x14ac:dyDescent="0.25">
      <c r="A153">
        <v>4.9000000000000004</v>
      </c>
      <c r="B153">
        <v>13</v>
      </c>
    </row>
    <row r="154" spans="1:2" x14ac:dyDescent="0.25">
      <c r="A154">
        <v>4.5999999999999996</v>
      </c>
      <c r="B154">
        <v>4</v>
      </c>
    </row>
    <row r="155" spans="1:2" x14ac:dyDescent="0.25">
      <c r="A155">
        <v>4.5</v>
      </c>
      <c r="B155">
        <v>13</v>
      </c>
    </row>
    <row r="156" spans="1:2" x14ac:dyDescent="0.25">
      <c r="A156">
        <v>4.5</v>
      </c>
      <c r="B156">
        <v>21</v>
      </c>
    </row>
    <row r="157" spans="1:2" x14ac:dyDescent="0.25">
      <c r="A157">
        <v>4.4000000000000004</v>
      </c>
      <c r="B157">
        <v>6</v>
      </c>
    </row>
    <row r="158" spans="1:2" x14ac:dyDescent="0.25">
      <c r="A158">
        <v>4.8</v>
      </c>
      <c r="B158">
        <v>15</v>
      </c>
    </row>
    <row r="159" spans="1:2" x14ac:dyDescent="0.25">
      <c r="A159">
        <v>4.5</v>
      </c>
      <c r="B159">
        <v>18</v>
      </c>
    </row>
    <row r="160" spans="1:2" x14ac:dyDescent="0.25">
      <c r="A160">
        <v>4.0999999999999996</v>
      </c>
      <c r="B160">
        <v>10</v>
      </c>
    </row>
    <row r="161" spans="1:2" x14ac:dyDescent="0.25">
      <c r="A161">
        <v>4.9000000000000004</v>
      </c>
      <c r="B161">
        <v>0</v>
      </c>
    </row>
    <row r="162" spans="1:2" x14ac:dyDescent="0.25">
      <c r="A162">
        <v>4.5</v>
      </c>
      <c r="B162">
        <v>12</v>
      </c>
    </row>
    <row r="163" spans="1:2" x14ac:dyDescent="0.25">
      <c r="A163">
        <v>4.5</v>
      </c>
      <c r="B163">
        <v>7</v>
      </c>
    </row>
    <row r="164" spans="1:2" x14ac:dyDescent="0.25">
      <c r="A164">
        <v>4.2</v>
      </c>
      <c r="B164">
        <v>13</v>
      </c>
    </row>
    <row r="165" spans="1:2" x14ac:dyDescent="0.25">
      <c r="A165">
        <v>4.8</v>
      </c>
      <c r="B165">
        <v>5</v>
      </c>
    </row>
    <row r="166" spans="1:2" x14ac:dyDescent="0.25">
      <c r="A166">
        <v>4.8</v>
      </c>
      <c r="B166">
        <v>16</v>
      </c>
    </row>
    <row r="167" spans="1:2" x14ac:dyDescent="0.25">
      <c r="A167">
        <v>4.5</v>
      </c>
      <c r="B167">
        <v>20</v>
      </c>
    </row>
    <row r="168" spans="1:2" x14ac:dyDescent="0.25">
      <c r="A168">
        <v>4.7</v>
      </c>
      <c r="B168">
        <v>11</v>
      </c>
    </row>
    <row r="169" spans="1:2" x14ac:dyDescent="0.25">
      <c r="A169">
        <v>4.8</v>
      </c>
      <c r="B169">
        <v>27</v>
      </c>
    </row>
    <row r="170" spans="1:2" x14ac:dyDescent="0.25">
      <c r="A170">
        <v>4.7</v>
      </c>
      <c r="B170">
        <v>8</v>
      </c>
    </row>
    <row r="171" spans="1:2" x14ac:dyDescent="0.25">
      <c r="A171">
        <v>4.4000000000000004</v>
      </c>
      <c r="B171">
        <v>6</v>
      </c>
    </row>
    <row r="172" spans="1:2" x14ac:dyDescent="0.25">
      <c r="A172">
        <v>4.5999999999999996</v>
      </c>
      <c r="B172">
        <v>10</v>
      </c>
    </row>
    <row r="173" spans="1:2" x14ac:dyDescent="0.25">
      <c r="A173">
        <v>4.5</v>
      </c>
      <c r="B173">
        <v>8</v>
      </c>
    </row>
    <row r="174" spans="1:2" x14ac:dyDescent="0.25">
      <c r="A174">
        <v>4.8</v>
      </c>
      <c r="B174">
        <v>16</v>
      </c>
    </row>
    <row r="175" spans="1:2" x14ac:dyDescent="0.25">
      <c r="A175">
        <v>4.8</v>
      </c>
      <c r="B175">
        <v>11</v>
      </c>
    </row>
    <row r="176" spans="1:2" x14ac:dyDescent="0.25">
      <c r="A176">
        <v>4.5999999999999996</v>
      </c>
      <c r="B176">
        <v>10</v>
      </c>
    </row>
    <row r="177" spans="1:2" x14ac:dyDescent="0.25">
      <c r="A177">
        <v>4.7</v>
      </c>
      <c r="B177">
        <v>9</v>
      </c>
    </row>
    <row r="178" spans="1:2" x14ac:dyDescent="0.25">
      <c r="A178">
        <v>4.5999999999999996</v>
      </c>
      <c r="B178">
        <v>14</v>
      </c>
    </row>
    <row r="179" spans="1:2" x14ac:dyDescent="0.25">
      <c r="A179">
        <v>4.9000000000000004</v>
      </c>
      <c r="B179">
        <v>22</v>
      </c>
    </row>
    <row r="180" spans="1:2" x14ac:dyDescent="0.25">
      <c r="A180">
        <v>4.9000000000000004</v>
      </c>
      <c r="B180">
        <v>8</v>
      </c>
    </row>
    <row r="181" spans="1:2" x14ac:dyDescent="0.25">
      <c r="A181">
        <v>4.8</v>
      </c>
      <c r="B181">
        <v>7</v>
      </c>
    </row>
    <row r="182" spans="1:2" x14ac:dyDescent="0.25">
      <c r="A182">
        <v>4.2</v>
      </c>
      <c r="B182">
        <v>12</v>
      </c>
    </row>
    <row r="183" spans="1:2" x14ac:dyDescent="0.25">
      <c r="A183">
        <v>4.5999999999999996</v>
      </c>
      <c r="B183">
        <v>13</v>
      </c>
    </row>
    <row r="184" spans="1:2" x14ac:dyDescent="0.25">
      <c r="A184">
        <v>4.5</v>
      </c>
      <c r="B184">
        <v>9</v>
      </c>
    </row>
    <row r="185" spans="1:2" x14ac:dyDescent="0.25">
      <c r="A185">
        <v>4.3</v>
      </c>
      <c r="B185">
        <v>13</v>
      </c>
    </row>
    <row r="186" spans="1:2" x14ac:dyDescent="0.25">
      <c r="A186">
        <v>4.5999999999999996</v>
      </c>
      <c r="B186">
        <v>11</v>
      </c>
    </row>
    <row r="187" spans="1:2" x14ac:dyDescent="0.25">
      <c r="A187">
        <v>4.5999999999999996</v>
      </c>
      <c r="B187">
        <v>20</v>
      </c>
    </row>
    <row r="188" spans="1:2" x14ac:dyDescent="0.25">
      <c r="A188">
        <v>4.7</v>
      </c>
      <c r="B188">
        <v>5</v>
      </c>
    </row>
    <row r="189" spans="1:2" x14ac:dyDescent="0.25">
      <c r="A189">
        <v>4.8</v>
      </c>
      <c r="B189">
        <v>2</v>
      </c>
    </row>
    <row r="190" spans="1:2" x14ac:dyDescent="0.25">
      <c r="A190">
        <v>4.8</v>
      </c>
      <c r="B190">
        <v>27</v>
      </c>
    </row>
    <row r="191" spans="1:2" x14ac:dyDescent="0.25">
      <c r="A191">
        <v>4.7</v>
      </c>
      <c r="B191">
        <v>9</v>
      </c>
    </row>
    <row r="192" spans="1:2" x14ac:dyDescent="0.25">
      <c r="A192">
        <v>4.3</v>
      </c>
      <c r="B192">
        <v>10</v>
      </c>
    </row>
    <row r="193" spans="1:2" x14ac:dyDescent="0.25">
      <c r="A193">
        <v>4.5</v>
      </c>
      <c r="B193">
        <v>46</v>
      </c>
    </row>
    <row r="194" spans="1:2" x14ac:dyDescent="0.25">
      <c r="A194">
        <v>4.8</v>
      </c>
      <c r="B194">
        <v>4</v>
      </c>
    </row>
    <row r="195" spans="1:2" x14ac:dyDescent="0.25">
      <c r="A195">
        <v>4.5999999999999996</v>
      </c>
      <c r="B195">
        <v>20</v>
      </c>
    </row>
    <row r="196" spans="1:2" x14ac:dyDescent="0.25">
      <c r="A196">
        <v>4.7</v>
      </c>
      <c r="B196">
        <v>9</v>
      </c>
    </row>
    <row r="197" spans="1:2" x14ac:dyDescent="0.25">
      <c r="A197">
        <v>4.5999999999999996</v>
      </c>
      <c r="B197">
        <v>12</v>
      </c>
    </row>
    <row r="198" spans="1:2" x14ac:dyDescent="0.25">
      <c r="A198">
        <v>4.9000000000000004</v>
      </c>
      <c r="B198">
        <v>12</v>
      </c>
    </row>
    <row r="199" spans="1:2" x14ac:dyDescent="0.25">
      <c r="A199">
        <v>4.9000000000000004</v>
      </c>
      <c r="B199">
        <v>12</v>
      </c>
    </row>
    <row r="200" spans="1:2" x14ac:dyDescent="0.25">
      <c r="A200">
        <v>4.8</v>
      </c>
      <c r="B200">
        <v>20</v>
      </c>
    </row>
    <row r="201" spans="1:2" x14ac:dyDescent="0.25">
      <c r="A201">
        <v>4.5999999999999996</v>
      </c>
      <c r="B201">
        <v>10</v>
      </c>
    </row>
    <row r="202" spans="1:2" x14ac:dyDescent="0.25">
      <c r="A202">
        <v>4.8</v>
      </c>
      <c r="B202">
        <v>6</v>
      </c>
    </row>
    <row r="203" spans="1:2" x14ac:dyDescent="0.25">
      <c r="A203">
        <v>4.7</v>
      </c>
      <c r="B203">
        <v>9</v>
      </c>
    </row>
    <row r="204" spans="1:2" x14ac:dyDescent="0.25">
      <c r="A204">
        <v>4.7</v>
      </c>
      <c r="B204">
        <v>11</v>
      </c>
    </row>
    <row r="205" spans="1:2" x14ac:dyDescent="0.25">
      <c r="A205">
        <v>4.8</v>
      </c>
      <c r="B205">
        <v>16</v>
      </c>
    </row>
    <row r="206" spans="1:2" x14ac:dyDescent="0.25">
      <c r="A206">
        <v>4.0999999999999996</v>
      </c>
      <c r="B206">
        <v>6</v>
      </c>
    </row>
    <row r="207" spans="1:2" x14ac:dyDescent="0.25">
      <c r="A207">
        <v>4.7</v>
      </c>
      <c r="B207">
        <v>25</v>
      </c>
    </row>
    <row r="208" spans="1:2" x14ac:dyDescent="0.25">
      <c r="A208">
        <v>4.5999999999999996</v>
      </c>
      <c r="B208">
        <v>17</v>
      </c>
    </row>
    <row r="209" spans="1:2" x14ac:dyDescent="0.25">
      <c r="A209">
        <v>4.5999999999999996</v>
      </c>
      <c r="B209">
        <v>20</v>
      </c>
    </row>
    <row r="210" spans="1:2" x14ac:dyDescent="0.25">
      <c r="A210">
        <v>4.9000000000000004</v>
      </c>
      <c r="B210">
        <v>6</v>
      </c>
    </row>
    <row r="211" spans="1:2" x14ac:dyDescent="0.25">
      <c r="A211">
        <v>4</v>
      </c>
      <c r="B211">
        <v>17</v>
      </c>
    </row>
    <row r="212" spans="1:2" x14ac:dyDescent="0.25">
      <c r="A212">
        <v>4.5</v>
      </c>
      <c r="B212">
        <v>18</v>
      </c>
    </row>
    <row r="213" spans="1:2" x14ac:dyDescent="0.25">
      <c r="A213">
        <v>4.5999999999999996</v>
      </c>
      <c r="B213">
        <v>13</v>
      </c>
    </row>
    <row r="214" spans="1:2" x14ac:dyDescent="0.25">
      <c r="A214">
        <v>4.5</v>
      </c>
      <c r="B214">
        <v>18</v>
      </c>
    </row>
    <row r="215" spans="1:2" x14ac:dyDescent="0.25">
      <c r="A215">
        <v>4.4000000000000004</v>
      </c>
      <c r="B215">
        <v>20</v>
      </c>
    </row>
    <row r="216" spans="1:2" x14ac:dyDescent="0.25">
      <c r="A216">
        <v>4.3</v>
      </c>
      <c r="B216">
        <v>22</v>
      </c>
    </row>
    <row r="217" spans="1:2" x14ac:dyDescent="0.25">
      <c r="A217">
        <v>4.3</v>
      </c>
      <c r="B217">
        <v>21</v>
      </c>
    </row>
    <row r="218" spans="1:2" x14ac:dyDescent="0.25">
      <c r="A218">
        <v>4.7</v>
      </c>
      <c r="B218">
        <v>28</v>
      </c>
    </row>
    <row r="219" spans="1:2" x14ac:dyDescent="0.25">
      <c r="A219">
        <v>4.8</v>
      </c>
      <c r="B219">
        <v>12</v>
      </c>
    </row>
    <row r="220" spans="1:2" x14ac:dyDescent="0.25">
      <c r="A220">
        <v>4.5999999999999996</v>
      </c>
      <c r="B220">
        <v>24</v>
      </c>
    </row>
    <row r="221" spans="1:2" x14ac:dyDescent="0.25">
      <c r="A221">
        <v>4.7</v>
      </c>
      <c r="B221">
        <v>39</v>
      </c>
    </row>
    <row r="222" spans="1:2" x14ac:dyDescent="0.25">
      <c r="A222">
        <v>4.5999999999999996</v>
      </c>
      <c r="B222">
        <v>9</v>
      </c>
    </row>
    <row r="223" spans="1:2" x14ac:dyDescent="0.25">
      <c r="A223">
        <v>4.7</v>
      </c>
      <c r="B223">
        <v>10</v>
      </c>
    </row>
    <row r="224" spans="1:2" x14ac:dyDescent="0.25">
      <c r="A224">
        <v>4.7</v>
      </c>
      <c r="B224">
        <v>17</v>
      </c>
    </row>
    <row r="225" spans="1:2" x14ac:dyDescent="0.25">
      <c r="A225">
        <v>4.8</v>
      </c>
      <c r="B225">
        <v>11</v>
      </c>
    </row>
    <row r="226" spans="1:2" x14ac:dyDescent="0.25">
      <c r="A226">
        <v>4.2</v>
      </c>
      <c r="B226">
        <v>14</v>
      </c>
    </row>
    <row r="227" spans="1:2" x14ac:dyDescent="0.25">
      <c r="A227">
        <v>4.8</v>
      </c>
      <c r="B227">
        <v>12</v>
      </c>
    </row>
    <row r="228" spans="1:2" x14ac:dyDescent="0.25">
      <c r="A228">
        <v>4.7</v>
      </c>
      <c r="B228">
        <v>53</v>
      </c>
    </row>
    <row r="229" spans="1:2" x14ac:dyDescent="0.25">
      <c r="A229">
        <v>4.5999999999999996</v>
      </c>
      <c r="B229">
        <v>6</v>
      </c>
    </row>
    <row r="230" spans="1:2" x14ac:dyDescent="0.25">
      <c r="A230">
        <v>4.8</v>
      </c>
      <c r="B230">
        <v>8</v>
      </c>
    </row>
    <row r="231" spans="1:2" x14ac:dyDescent="0.25">
      <c r="A231">
        <v>4.8</v>
      </c>
      <c r="B231">
        <v>12</v>
      </c>
    </row>
    <row r="232" spans="1:2" x14ac:dyDescent="0.25">
      <c r="A232">
        <v>3.3</v>
      </c>
      <c r="B232">
        <v>12</v>
      </c>
    </row>
    <row r="233" spans="1:2" x14ac:dyDescent="0.25">
      <c r="A233">
        <v>4.7</v>
      </c>
      <c r="B233">
        <v>21</v>
      </c>
    </row>
    <row r="234" spans="1:2" x14ac:dyDescent="0.25">
      <c r="A234">
        <v>4.3</v>
      </c>
      <c r="B234">
        <v>6</v>
      </c>
    </row>
    <row r="235" spans="1:2" x14ac:dyDescent="0.25">
      <c r="A235">
        <v>4.3</v>
      </c>
      <c r="B235">
        <v>13</v>
      </c>
    </row>
    <row r="236" spans="1:2" x14ac:dyDescent="0.25">
      <c r="A236">
        <v>4.8</v>
      </c>
      <c r="B236">
        <v>0</v>
      </c>
    </row>
    <row r="237" spans="1:2" x14ac:dyDescent="0.25">
      <c r="A237">
        <v>4.4000000000000004</v>
      </c>
      <c r="B237">
        <v>11</v>
      </c>
    </row>
    <row r="238" spans="1:2" x14ac:dyDescent="0.25">
      <c r="A238">
        <v>4.8</v>
      </c>
      <c r="B238">
        <v>9</v>
      </c>
    </row>
    <row r="239" spans="1:2" x14ac:dyDescent="0.25">
      <c r="A239">
        <v>4.0999999999999996</v>
      </c>
      <c r="B239">
        <v>15</v>
      </c>
    </row>
    <row r="240" spans="1:2" x14ac:dyDescent="0.25">
      <c r="A240">
        <v>4</v>
      </c>
      <c r="B240">
        <v>11</v>
      </c>
    </row>
    <row r="241" spans="1:2" x14ac:dyDescent="0.25">
      <c r="A241">
        <v>4.7</v>
      </c>
      <c r="B241">
        <v>13</v>
      </c>
    </row>
    <row r="242" spans="1:2" x14ac:dyDescent="0.25">
      <c r="A242">
        <v>4.5999999999999996</v>
      </c>
      <c r="B242">
        <v>6</v>
      </c>
    </row>
    <row r="243" spans="1:2" x14ac:dyDescent="0.25">
      <c r="A243">
        <v>4.5999999999999996</v>
      </c>
      <c r="B243">
        <v>9</v>
      </c>
    </row>
    <row r="244" spans="1:2" x14ac:dyDescent="0.25">
      <c r="A244">
        <v>4.7</v>
      </c>
      <c r="B244">
        <v>6</v>
      </c>
    </row>
    <row r="245" spans="1:2" x14ac:dyDescent="0.25">
      <c r="A245">
        <v>4.8</v>
      </c>
      <c r="B245">
        <v>0</v>
      </c>
    </row>
    <row r="246" spans="1:2" x14ac:dyDescent="0.25">
      <c r="A246">
        <v>4.0999999999999996</v>
      </c>
      <c r="B246">
        <v>18</v>
      </c>
    </row>
    <row r="247" spans="1:2" x14ac:dyDescent="0.25">
      <c r="A247">
        <v>4.7</v>
      </c>
      <c r="B247">
        <v>14</v>
      </c>
    </row>
    <row r="248" spans="1:2" x14ac:dyDescent="0.25">
      <c r="A248">
        <v>4.7</v>
      </c>
      <c r="B248">
        <v>9</v>
      </c>
    </row>
    <row r="249" spans="1:2" x14ac:dyDescent="0.25">
      <c r="A249">
        <v>4.7</v>
      </c>
      <c r="B249">
        <v>16</v>
      </c>
    </row>
    <row r="250" spans="1:2" x14ac:dyDescent="0.25">
      <c r="A250">
        <v>4.4000000000000004</v>
      </c>
      <c r="B250">
        <v>2</v>
      </c>
    </row>
    <row r="251" spans="1:2" x14ac:dyDescent="0.25">
      <c r="A251">
        <v>4.8</v>
      </c>
      <c r="B251">
        <v>5</v>
      </c>
    </row>
    <row r="252" spans="1:2" x14ac:dyDescent="0.25">
      <c r="A252">
        <v>3.9</v>
      </c>
      <c r="B252">
        <v>20</v>
      </c>
    </row>
    <row r="253" spans="1:2" x14ac:dyDescent="0.25">
      <c r="A253">
        <v>4.4000000000000004</v>
      </c>
      <c r="B253">
        <v>7</v>
      </c>
    </row>
    <row r="254" spans="1:2" x14ac:dyDescent="0.25">
      <c r="A254">
        <v>4.5</v>
      </c>
      <c r="B254">
        <v>14</v>
      </c>
    </row>
    <row r="255" spans="1:2" x14ac:dyDescent="0.25">
      <c r="A255">
        <v>4.7</v>
      </c>
      <c r="B255">
        <v>10</v>
      </c>
    </row>
    <row r="256" spans="1:2" x14ac:dyDescent="0.25">
      <c r="A256">
        <v>4.3</v>
      </c>
      <c r="B256">
        <v>7</v>
      </c>
    </row>
    <row r="257" spans="1:2" x14ac:dyDescent="0.25">
      <c r="A257">
        <v>4.5999999999999996</v>
      </c>
      <c r="B257">
        <v>13</v>
      </c>
    </row>
    <row r="258" spans="1:2" x14ac:dyDescent="0.25">
      <c r="A258">
        <v>4.8</v>
      </c>
      <c r="B258">
        <v>11</v>
      </c>
    </row>
    <row r="259" spans="1:2" x14ac:dyDescent="0.25">
      <c r="A259">
        <v>4.8</v>
      </c>
      <c r="B259">
        <v>6</v>
      </c>
    </row>
    <row r="260" spans="1:2" x14ac:dyDescent="0.25">
      <c r="A260">
        <v>4.8</v>
      </c>
      <c r="B260">
        <v>14</v>
      </c>
    </row>
    <row r="261" spans="1:2" x14ac:dyDescent="0.25">
      <c r="A261">
        <v>4.7</v>
      </c>
      <c r="B261">
        <v>14</v>
      </c>
    </row>
    <row r="262" spans="1:2" x14ac:dyDescent="0.25">
      <c r="A262">
        <v>4.7</v>
      </c>
      <c r="B262">
        <v>8</v>
      </c>
    </row>
    <row r="263" spans="1:2" x14ac:dyDescent="0.25">
      <c r="A263">
        <v>4.8</v>
      </c>
      <c r="B263">
        <v>30</v>
      </c>
    </row>
    <row r="264" spans="1:2" x14ac:dyDescent="0.25">
      <c r="A264">
        <v>4.7</v>
      </c>
      <c r="B264">
        <v>13</v>
      </c>
    </row>
    <row r="265" spans="1:2" x14ac:dyDescent="0.25">
      <c r="A265">
        <v>4.3</v>
      </c>
      <c r="B265">
        <v>7</v>
      </c>
    </row>
    <row r="266" spans="1:2" x14ac:dyDescent="0.25">
      <c r="A266">
        <v>4.7</v>
      </c>
      <c r="B266">
        <v>9</v>
      </c>
    </row>
    <row r="267" spans="1:2" x14ac:dyDescent="0.25">
      <c r="A267">
        <v>4.8</v>
      </c>
      <c r="B267">
        <v>7</v>
      </c>
    </row>
    <row r="268" spans="1:2" x14ac:dyDescent="0.25">
      <c r="A268">
        <v>4.9000000000000004</v>
      </c>
      <c r="B268">
        <v>20</v>
      </c>
    </row>
    <row r="269" spans="1:2" x14ac:dyDescent="0.25">
      <c r="A269">
        <v>4.4000000000000004</v>
      </c>
      <c r="B269">
        <v>13</v>
      </c>
    </row>
    <row r="270" spans="1:2" x14ac:dyDescent="0.25">
      <c r="A270">
        <v>4.5</v>
      </c>
      <c r="B270">
        <v>11</v>
      </c>
    </row>
    <row r="271" spans="1:2" x14ac:dyDescent="0.25">
      <c r="A271">
        <v>4.4000000000000004</v>
      </c>
      <c r="B271">
        <v>18</v>
      </c>
    </row>
    <row r="272" spans="1:2" x14ac:dyDescent="0.25">
      <c r="A272">
        <v>4.8</v>
      </c>
      <c r="B272">
        <v>14</v>
      </c>
    </row>
    <row r="273" spans="1:2" x14ac:dyDescent="0.25">
      <c r="A273">
        <v>4.2</v>
      </c>
      <c r="B273">
        <v>19</v>
      </c>
    </row>
    <row r="274" spans="1:2" x14ac:dyDescent="0.25">
      <c r="A274">
        <v>4.8</v>
      </c>
      <c r="B274">
        <v>13</v>
      </c>
    </row>
    <row r="275" spans="1:2" x14ac:dyDescent="0.25">
      <c r="A275">
        <v>4.9000000000000004</v>
      </c>
      <c r="B275">
        <v>5</v>
      </c>
    </row>
    <row r="276" spans="1:2" x14ac:dyDescent="0.25">
      <c r="A276">
        <v>4.8</v>
      </c>
      <c r="B276">
        <v>10</v>
      </c>
    </row>
    <row r="277" spans="1:2" x14ac:dyDescent="0.25">
      <c r="A277">
        <v>4.7</v>
      </c>
      <c r="B277">
        <v>9</v>
      </c>
    </row>
    <row r="278" spans="1:2" x14ac:dyDescent="0.25">
      <c r="A278">
        <v>4.5</v>
      </c>
      <c r="B278">
        <v>8</v>
      </c>
    </row>
    <row r="279" spans="1:2" x14ac:dyDescent="0.25">
      <c r="A279">
        <v>4.8</v>
      </c>
      <c r="B279">
        <v>8</v>
      </c>
    </row>
    <row r="280" spans="1:2" x14ac:dyDescent="0.25">
      <c r="A280">
        <v>4.5999999999999996</v>
      </c>
      <c r="B280">
        <v>12</v>
      </c>
    </row>
    <row r="281" spans="1:2" x14ac:dyDescent="0.25">
      <c r="A281">
        <v>4.8</v>
      </c>
      <c r="B281">
        <v>11</v>
      </c>
    </row>
    <row r="282" spans="1:2" x14ac:dyDescent="0.25">
      <c r="A282">
        <v>4.4000000000000004</v>
      </c>
      <c r="B282">
        <v>40</v>
      </c>
    </row>
    <row r="283" spans="1:2" x14ac:dyDescent="0.25">
      <c r="A283">
        <v>4.3</v>
      </c>
      <c r="B283">
        <v>36</v>
      </c>
    </row>
    <row r="284" spans="1:2" x14ac:dyDescent="0.25">
      <c r="A284">
        <v>4.3</v>
      </c>
      <c r="B284">
        <v>16</v>
      </c>
    </row>
    <row r="285" spans="1:2" x14ac:dyDescent="0.25">
      <c r="A285">
        <v>4.8</v>
      </c>
      <c r="B285">
        <v>17</v>
      </c>
    </row>
    <row r="286" spans="1:2" x14ac:dyDescent="0.25">
      <c r="A286">
        <v>4.8</v>
      </c>
      <c r="B286">
        <v>14</v>
      </c>
    </row>
    <row r="287" spans="1:2" x14ac:dyDescent="0.25">
      <c r="A287">
        <v>4.8</v>
      </c>
      <c r="B287">
        <v>21</v>
      </c>
    </row>
    <row r="288" spans="1:2" x14ac:dyDescent="0.25">
      <c r="A288">
        <v>4.5</v>
      </c>
      <c r="B288">
        <v>18</v>
      </c>
    </row>
    <row r="289" spans="1:2" x14ac:dyDescent="0.25">
      <c r="A289">
        <v>4.4000000000000004</v>
      </c>
      <c r="B289">
        <v>17</v>
      </c>
    </row>
    <row r="290" spans="1:2" x14ac:dyDescent="0.25">
      <c r="A290">
        <v>4.8</v>
      </c>
      <c r="B290">
        <v>5</v>
      </c>
    </row>
    <row r="291" spans="1:2" x14ac:dyDescent="0.25">
      <c r="A291">
        <v>4.5999999999999996</v>
      </c>
      <c r="B291">
        <v>21</v>
      </c>
    </row>
    <row r="292" spans="1:2" x14ac:dyDescent="0.25">
      <c r="A292">
        <v>4.3</v>
      </c>
      <c r="B292">
        <v>18</v>
      </c>
    </row>
    <row r="293" spans="1:2" x14ac:dyDescent="0.25">
      <c r="A293">
        <v>4.3</v>
      </c>
      <c r="B293">
        <v>18</v>
      </c>
    </row>
    <row r="294" spans="1:2" x14ac:dyDescent="0.25">
      <c r="A294">
        <v>4.5999999999999996</v>
      </c>
      <c r="B294">
        <v>12</v>
      </c>
    </row>
    <row r="295" spans="1:2" x14ac:dyDescent="0.25">
      <c r="A295">
        <v>4.5999999999999996</v>
      </c>
      <c r="B295">
        <v>14</v>
      </c>
    </row>
    <row r="296" spans="1:2" x14ac:dyDescent="0.25">
      <c r="A296">
        <v>4.8</v>
      </c>
      <c r="B296">
        <v>12</v>
      </c>
    </row>
    <row r="297" spans="1:2" x14ac:dyDescent="0.25">
      <c r="A297">
        <v>4.5999999999999996</v>
      </c>
      <c r="B297">
        <v>8</v>
      </c>
    </row>
    <row r="298" spans="1:2" x14ac:dyDescent="0.25">
      <c r="A298">
        <v>4.5999999999999996</v>
      </c>
      <c r="B298">
        <v>0</v>
      </c>
    </row>
    <row r="299" spans="1:2" x14ac:dyDescent="0.25">
      <c r="A299">
        <v>4.5</v>
      </c>
      <c r="B299">
        <v>14</v>
      </c>
    </row>
    <row r="300" spans="1:2" x14ac:dyDescent="0.25">
      <c r="A300">
        <v>4.8</v>
      </c>
      <c r="B300">
        <v>10</v>
      </c>
    </row>
    <row r="301" spans="1:2" x14ac:dyDescent="0.25">
      <c r="A301">
        <v>4.5999999999999996</v>
      </c>
      <c r="B301">
        <v>15</v>
      </c>
    </row>
    <row r="302" spans="1:2" x14ac:dyDescent="0.25">
      <c r="A302">
        <v>4.7</v>
      </c>
      <c r="B302">
        <v>9</v>
      </c>
    </row>
    <row r="303" spans="1:2" x14ac:dyDescent="0.25">
      <c r="A303">
        <v>4.7</v>
      </c>
      <c r="B303">
        <v>7</v>
      </c>
    </row>
    <row r="304" spans="1:2" x14ac:dyDescent="0.25">
      <c r="A304">
        <v>4.7</v>
      </c>
      <c r="B304">
        <v>10</v>
      </c>
    </row>
    <row r="305" spans="1:2" x14ac:dyDescent="0.25">
      <c r="A305">
        <v>4.4000000000000004</v>
      </c>
      <c r="B305">
        <v>6</v>
      </c>
    </row>
    <row r="306" spans="1:2" x14ac:dyDescent="0.25">
      <c r="A306">
        <v>4.4000000000000004</v>
      </c>
      <c r="B306">
        <v>9</v>
      </c>
    </row>
    <row r="307" spans="1:2" x14ac:dyDescent="0.25">
      <c r="A307">
        <v>4.7</v>
      </c>
      <c r="B307">
        <v>10</v>
      </c>
    </row>
    <row r="308" spans="1:2" x14ac:dyDescent="0.25">
      <c r="A308">
        <v>4.7</v>
      </c>
      <c r="B308">
        <v>82</v>
      </c>
    </row>
    <row r="309" spans="1:2" x14ac:dyDescent="0.25">
      <c r="A309">
        <v>4.8</v>
      </c>
      <c r="B309">
        <v>12</v>
      </c>
    </row>
    <row r="310" spans="1:2" x14ac:dyDescent="0.25">
      <c r="A310">
        <v>4.7</v>
      </c>
      <c r="B310">
        <v>10</v>
      </c>
    </row>
    <row r="311" spans="1:2" x14ac:dyDescent="0.25">
      <c r="A311">
        <v>4.9000000000000004</v>
      </c>
      <c r="B311">
        <v>5</v>
      </c>
    </row>
    <row r="312" spans="1:2" x14ac:dyDescent="0.25">
      <c r="A312">
        <v>4.5999999999999996</v>
      </c>
      <c r="B312">
        <v>16</v>
      </c>
    </row>
    <row r="313" spans="1:2" x14ac:dyDescent="0.25">
      <c r="A313">
        <v>4.9000000000000004</v>
      </c>
      <c r="B313">
        <v>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36FF-EA72-446F-96C9-43DA99D40845}">
  <dimension ref="A1"/>
  <sheetViews>
    <sheetView workbookViewId="0"/>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Tabla dinamica</vt:lpstr>
      <vt:lpstr>Dataset</vt:lpstr>
      <vt:lpstr>Regresión</vt:lpstr>
      <vt:lpstr>Hoja1</vt:lpstr>
      <vt:lpstr>Hoja4</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EQUIPO</cp:lastModifiedBy>
  <dcterms:created xsi:type="dcterms:W3CDTF">2024-07-28T02:49:23Z</dcterms:created>
  <dcterms:modified xsi:type="dcterms:W3CDTF">2026-02-10T15:18:44Z</dcterms:modified>
  <cp:category/>
</cp:coreProperties>
</file>