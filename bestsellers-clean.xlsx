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QUIPO\Downloads\"/>
    </mc:Choice>
  </mc:AlternateContent>
  <xr:revisionPtr revIDLastSave="0" documentId="13_ncr:1_{9E27754B-62F1-4CC9-BED7-8F46E1E50D68}" xr6:coauthVersionLast="36" xr6:coauthVersionMax="36" xr10:uidLastSave="{00000000-0000-0000-0000-000000000000}"/>
  <bookViews>
    <workbookView xWindow="0" yWindow="0" windowWidth="28800" windowHeight="12810" xr2:uid="{00000000-000D-0000-FFFF-FFFF00000000}"/>
  </bookViews>
  <sheets>
    <sheet name="Tabla dinamica" sheetId="4" r:id="rId1"/>
    <sheet name="Worksheet" sheetId="1" r:id="rId2"/>
    <sheet name="Regresión" sheetId="3" r:id="rId3"/>
    <sheet name="Hoja1" sheetId="2" r:id="rId4"/>
  </sheets>
  <definedNames>
    <definedName name="_xlnm._FilterDatabase" localSheetId="1" hidden="1">Worksheet!$A$2:$I$318</definedName>
  </definedNames>
  <calcPr calcId="179021"/>
  <pivotCaches>
    <pivotCache cacheId="6" r:id="rId5"/>
  </pivotCaches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" i="1"/>
  <c r="D20" i="2" l="1"/>
  <c r="E318" i="1"/>
  <c r="C318" i="1"/>
  <c r="E317" i="1"/>
  <c r="C317" i="1"/>
  <c r="C316" i="1"/>
  <c r="E316" i="1"/>
  <c r="C315" i="1"/>
  <c r="E315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" i="1"/>
</calcChain>
</file>

<file path=xl/sharedStrings.xml><?xml version="1.0" encoding="utf-8"?>
<sst xmlns="http://schemas.openxmlformats.org/spreadsheetml/2006/main" count="985" uniqueCount="579">
  <si>
    <t>Name</t>
  </si>
  <si>
    <t>Author</t>
  </si>
  <si>
    <t>User Rating</t>
  </si>
  <si>
    <t>Reviews</t>
  </si>
  <si>
    <t>Price</t>
  </si>
  <si>
    <t>Year</t>
  </si>
  <si>
    <t>Genre</t>
  </si>
  <si>
    <t>10-Day Green Smoothie Cleanse</t>
  </si>
  <si>
    <t>JJ Smith</t>
  </si>
  <si>
    <t>Non Fiction</t>
  </si>
  <si>
    <t>11/22/63: A Novel</t>
  </si>
  <si>
    <t>Stephen King</t>
  </si>
  <si>
    <t>Fiction</t>
  </si>
  <si>
    <t>12 Rules for Life: An Antidote to Chaos</t>
  </si>
  <si>
    <t>Jordan B. Peterson</t>
  </si>
  <si>
    <t>1984 (Signet Classics)</t>
  </si>
  <si>
    <t>George Orwell</t>
  </si>
  <si>
    <t>5,000 Awesome Facts (About Everything!) (National Geographic Kids)</t>
  </si>
  <si>
    <t>National Geographic Kids</t>
  </si>
  <si>
    <t>A Dance with Dragons (A Song of Ice and Fire)</t>
  </si>
  <si>
    <t>George R. R. Martin</t>
  </si>
  <si>
    <t>A Game of Thrones / A Clash of Kings / A Storm of Swords / A Feast of Crows / A Dance with Dragons</t>
  </si>
  <si>
    <t>A Gentleman in Moscow: A Novel</t>
  </si>
  <si>
    <t>Amor Towles</t>
  </si>
  <si>
    <t>A Higher Loyalty: Truth, Lies, and Leadership</t>
  </si>
  <si>
    <t>James Comey</t>
  </si>
  <si>
    <t>A Man Called Ove: A Novel</t>
  </si>
  <si>
    <t>Fredrik Backman</t>
  </si>
  <si>
    <t>A Patriot's History of the United States: From Columbus's Great Discovery to the War on Terror</t>
  </si>
  <si>
    <t>Larry Schweikart</t>
  </si>
  <si>
    <t>A Stolen Life: A Memoir</t>
  </si>
  <si>
    <t>Jaycee Dugard</t>
  </si>
  <si>
    <t>A Wrinkle in Time (Time Quintet)</t>
  </si>
  <si>
    <t>Madeleine L'Engle</t>
  </si>
  <si>
    <t>Act Like a Lady, Think Like a Man: What Men Really Think About Love, Relationships, Intimacy, and Commitment</t>
  </si>
  <si>
    <t>Steve Harvey</t>
  </si>
  <si>
    <t>Adult Coloring Book Designs: Stress Relief Coloring Book: Garden Designs, Mandalas, Animals, and Paisley Patterns</t>
  </si>
  <si>
    <t>Adult Coloring Book Designs</t>
  </si>
  <si>
    <t>Adult Coloring Book: Stress Relieving Animal Designs</t>
  </si>
  <si>
    <t>Blue Star Coloring</t>
  </si>
  <si>
    <t>Adult Coloring Book: Stress Relieving Patterns</t>
  </si>
  <si>
    <t>Adult Coloring Books: A Coloring Book for Adults Featuring Mandalas and Henna Inspired Flowers, Animals, and Paisley…</t>
  </si>
  <si>
    <t>Coloring Books for Adults</t>
  </si>
  <si>
    <t>Alexander Hamilton</t>
  </si>
  <si>
    <t>Ron Chernow</t>
  </si>
  <si>
    <t>All the Light We Cannot See</t>
  </si>
  <si>
    <t>Anthony Doerr</t>
  </si>
  <si>
    <t>Allegiant</t>
  </si>
  <si>
    <t>Veronica Roth</t>
  </si>
  <si>
    <t>American Sniper: The Autobiography of the Most Lethal Sniper in U.S. Military History</t>
  </si>
  <si>
    <t>Chris Kyle</t>
  </si>
  <si>
    <t>And the Mountains Echoed</t>
  </si>
  <si>
    <t>Khaled Hosseini</t>
  </si>
  <si>
    <t>Arguing with Idiots: How to Stop Small Minds and Big Government</t>
  </si>
  <si>
    <t>Glenn Beck</t>
  </si>
  <si>
    <t>Astrophysics for People in a Hurry</t>
  </si>
  <si>
    <t>Neil deGrasse Tyson</t>
  </si>
  <si>
    <t>Autobiography of Mark Twain, Vol. 1</t>
  </si>
  <si>
    <t>Mark Twain</t>
  </si>
  <si>
    <t>Baby Touch and Feel: Animals</t>
  </si>
  <si>
    <t>DK</t>
  </si>
  <si>
    <t>Balance (Angie's Extreme Stress Menders)</t>
  </si>
  <si>
    <t>Angie Grace</t>
  </si>
  <si>
    <t>Barefoot Contessa Foolproof: Recipes You Can Trust: A Cookbook</t>
  </si>
  <si>
    <t>Ina Garten</t>
  </si>
  <si>
    <t>Barefoot Contessa, How Easy Is That?: Fabulous Recipes &amp; Easy Tips</t>
  </si>
  <si>
    <t>Becoming</t>
  </si>
  <si>
    <t>Michelle Obama</t>
  </si>
  <si>
    <t>Being Mortal: Medicine and What Matters in the End</t>
  </si>
  <si>
    <t>Atul Gawande</t>
  </si>
  <si>
    <t>Between the World and Me</t>
  </si>
  <si>
    <t>Ta-Nehisi Coates</t>
  </si>
  <si>
    <t>Born to Run</t>
  </si>
  <si>
    <t>Bruce Springsteen</t>
  </si>
  <si>
    <t>Breaking Dawn (The Twilight Saga, Book 4)</t>
  </si>
  <si>
    <t>Stephenie Meyer</t>
  </si>
  <si>
    <t>Broke: The Plan to Restore Our Trust, Truth and Treasure</t>
  </si>
  <si>
    <t>Brown Bear, Brown Bear, What Do You See?</t>
  </si>
  <si>
    <t>Bill Martin Jr.</t>
  </si>
  <si>
    <t>Cabin Fever (Diary of a Wimpy Kid, Book 6)</t>
  </si>
  <si>
    <t>Jeff Kinney</t>
  </si>
  <si>
    <t>Calm the F*ck Down: An Irreverent Adult Coloring Book (Irreverent Book Series)</t>
  </si>
  <si>
    <t>Sasha O'Hara</t>
  </si>
  <si>
    <t>Can't Hurt Me: Master Your Mind and Defy the Odds</t>
  </si>
  <si>
    <t>David Goggins</t>
  </si>
  <si>
    <t>Capital in the Twenty First Century</t>
  </si>
  <si>
    <t>Thomas Piketty</t>
  </si>
  <si>
    <t>Catching Fire (The Hunger Games)</t>
  </si>
  <si>
    <t>Suzanne Collins</t>
  </si>
  <si>
    <t>Cravings: Recipes for All the Food You Want to Eat: A Cookbook</t>
  </si>
  <si>
    <t>Chrissy Teigen</t>
  </si>
  <si>
    <t>Crazy Love: Overwhelmed by a Relentless God</t>
  </si>
  <si>
    <t>Francis Chan</t>
  </si>
  <si>
    <t>Crazy Rich Asians (Crazy Rich Asians Trilogy)</t>
  </si>
  <si>
    <t>Kevin Kwan</t>
  </si>
  <si>
    <t>Creative Haven Creative Cats Coloring Book (Adult Coloring)</t>
  </si>
  <si>
    <t>Marjorie Sarnat</t>
  </si>
  <si>
    <t>Creative Haven Owls Coloring Book (Adult Coloring)</t>
  </si>
  <si>
    <t>Cutting for Stone</t>
  </si>
  <si>
    <t>Abraham Verghese</t>
  </si>
  <si>
    <t>Daring Greatly: How the Courage to Be Vulnerable Transforms the Way We Live, Love, Parent, and Lead</t>
  </si>
  <si>
    <t>Brené Brown</t>
  </si>
  <si>
    <t>David and Goliath: Underdogs, Misfits, and the Art of Battling Giants</t>
  </si>
  <si>
    <t>Malcolm Gladwell</t>
  </si>
  <si>
    <t>Dead And Gone: A Sookie Stackhouse Novel (Sookie Stackhouse/True Blood)</t>
  </si>
  <si>
    <t>Charlaine Harris</t>
  </si>
  <si>
    <t>Dead in the Family (Sookie Stackhouse/True Blood, Book 10)</t>
  </si>
  <si>
    <t>Dead Reckoning (Sookie Stackhouse/True Blood, Book 11)</t>
  </si>
  <si>
    <t>Dear Zoo: A Lift-the-Flap Book</t>
  </si>
  <si>
    <t>Rod Campbell</t>
  </si>
  <si>
    <t>Decision Points</t>
  </si>
  <si>
    <t>George W. Bush</t>
  </si>
  <si>
    <t>Delivering Happiness: A Path to Profits, Passion, and Purpose</t>
  </si>
  <si>
    <t>Tony Hsieh</t>
  </si>
  <si>
    <t>Diagnostic and Statistical Manual of Mental Disorders, 5th Edition: DSM-5</t>
  </si>
  <si>
    <t>American Psychiatric Association</t>
  </si>
  <si>
    <t>Diary of a Wimpy Kid: Hard Luck, Book 8</t>
  </si>
  <si>
    <t>Diary of a Wimpy Kid: The Last Straw (Book 3)</t>
  </si>
  <si>
    <t>Diary of a Wimpy Kid: The Long Haul</t>
  </si>
  <si>
    <t>Difficult Riddles For Smart Kids: 300 Difficult Riddles And Brain Teasers Families Will Love (Books for Smart Kids)</t>
  </si>
  <si>
    <t>M Prefontaine</t>
  </si>
  <si>
    <t>Divergent</t>
  </si>
  <si>
    <t>Divergent / Insurgent</t>
  </si>
  <si>
    <t>Divine Soul Mind Body Healing and Transmission System: The Divine Way to Heal You, Humanity, Mother Earth, and All…</t>
  </si>
  <si>
    <t>Zhi Gang Sha</t>
  </si>
  <si>
    <t>Doctor Sleep: A Novel</t>
  </si>
  <si>
    <t>Dog Days (Diary of a Wimpy Kid, Book 4) (Volume 4)</t>
  </si>
  <si>
    <t>Dog Man and Cat Kid: From the Creator of Captain Underpants (Dog Man #4)</t>
  </si>
  <si>
    <t>Dav Pilkey</t>
  </si>
  <si>
    <t>Dog Man: A Tale of Two Kitties: From the Creator of Captain Underpants (Dog Man #3)</t>
  </si>
  <si>
    <t>Dog Man: Brawl of the Wild: From the Creator of Captain Underpants (Dog Man #6)</t>
  </si>
  <si>
    <t>Dog Man: Fetch-22: From the Creator of Captain Underpants (Dog Man #8)</t>
  </si>
  <si>
    <t>Dog Man: For Whom the Ball Rolls: From the Creator of Captain Underpants (Dog Man #7)</t>
  </si>
  <si>
    <t>Dog Man: Lord of the Fleas: From the Creator of Captain Underpants (Dog Man #5)</t>
  </si>
  <si>
    <t>Double Down (Diary of a Wimpy Kid #11)</t>
  </si>
  <si>
    <t>Dover Creative Haven Art Nouveau Animal Designs Coloring Book (Creative Haven Coloring Books)</t>
  </si>
  <si>
    <t>Marty Noble</t>
  </si>
  <si>
    <t>Drive: The Surprising Truth About What Motivates Us</t>
  </si>
  <si>
    <t>Daniel H. Pink</t>
  </si>
  <si>
    <t>Eat This Not That! Supermarket Survival Guide: The No-Diet Weight Loss Solution</t>
  </si>
  <si>
    <t>David Zinczenko</t>
  </si>
  <si>
    <t>Eat This, Not That! Thousands of Simple Food Swaps that Can Save You 10, 20, 30 Pounds--or More!</t>
  </si>
  <si>
    <t>Eat to Live: The Amazing Nutrient-Rich Program for Fast and Sustained Weight Loss, Revised Edition</t>
  </si>
  <si>
    <t>Joel Fuhrman MD</t>
  </si>
  <si>
    <t>Eclipse (Twilight Sagas)</t>
  </si>
  <si>
    <t>Eclipse (Twilight)</t>
  </si>
  <si>
    <t>Educated: A Memoir</t>
  </si>
  <si>
    <t>Tara Westover</t>
  </si>
  <si>
    <t>Enchanted Forest: An Inky Quest and Coloring book (Activity Books, Mindfulness and Meditation, Illustrated Floral Prints…</t>
  </si>
  <si>
    <t>Johanna Basford</t>
  </si>
  <si>
    <t>Fahrenheit 451</t>
  </si>
  <si>
    <t>Ray Bradbury</t>
  </si>
  <si>
    <t>Fantastic Beasts and Where to Find Them: The Original Screenplay (Harry Potter)</t>
  </si>
  <si>
    <t>J.K. Rowling</t>
  </si>
  <si>
    <t>Fear: Trump in the White House</t>
  </si>
  <si>
    <t>Bob Woodward</t>
  </si>
  <si>
    <t>Fifty Shades Darker</t>
  </si>
  <si>
    <t>E L James</t>
  </si>
  <si>
    <t>Fifty Shades Freed: Book Three of the Fifty Shades Trilogy (Fifty Shades of Grey Series) (English Edition)</t>
  </si>
  <si>
    <t>Fifty Shades of Grey: Book One of the Fifty Shades Trilogy (Fifty Shades of Grey Series)</t>
  </si>
  <si>
    <t>Fifty Shades Trilogy (Fifty Shades of Grey / Fifty Shades Darker / Fifty Shades Freed)</t>
  </si>
  <si>
    <t>Fire and Fury: Inside the Trump White House</t>
  </si>
  <si>
    <t>Michael Wolff</t>
  </si>
  <si>
    <t>First 100 Words</t>
  </si>
  <si>
    <t>Roger Priddy</t>
  </si>
  <si>
    <t>Food Rules: An Eater's Manual</t>
  </si>
  <si>
    <t>Michael Pollan</t>
  </si>
  <si>
    <t>Frozen (Little Golden Book)</t>
  </si>
  <si>
    <t>RH Disney</t>
  </si>
  <si>
    <t>Game Change: Obama and the Clintons, McCain and Palin, and the Race of a Lifetime</t>
  </si>
  <si>
    <t>John Heilemann</t>
  </si>
  <si>
    <t>Game of Thrones Boxed Set: A Game of Thrones/A Clash of Kings/A Storm of Swords/A Feast for Crows</t>
  </si>
  <si>
    <t>George R.R. Martin</t>
  </si>
  <si>
    <t>George Washington's Sacred Fire</t>
  </si>
  <si>
    <t>Peter A. Lillback</t>
  </si>
  <si>
    <t>George Washington's Secret Six: The Spy Ring That Saved the American Revolution</t>
  </si>
  <si>
    <t>Brian Kilmeade</t>
  </si>
  <si>
    <t>Giraffes Can't Dance</t>
  </si>
  <si>
    <t>Giles Andreae</t>
  </si>
  <si>
    <t>Girl, Stop Apologizing: A Shame-Free Plan for Embracing and Achieving Your Goals</t>
  </si>
  <si>
    <t>Rachel Hollis</t>
  </si>
  <si>
    <t>Girl, Wash Your Face: Stop Believing the Lies About Who You Are So You Can Become Who You Were Meant to Be</t>
  </si>
  <si>
    <t>Glenn Beck's Common Sense: The Case Against an Out-of-Control Government, Inspired by Thomas Paine</t>
  </si>
  <si>
    <t>Go Set a Watchman: A Novel</t>
  </si>
  <si>
    <t>Harper Lee</t>
  </si>
  <si>
    <t>Go the F**k to Sleep</t>
  </si>
  <si>
    <t>Adam Mansbach</t>
  </si>
  <si>
    <t>Going Rogue: An American Life</t>
  </si>
  <si>
    <t>Sarah Palin</t>
  </si>
  <si>
    <t>Gone Girl</t>
  </si>
  <si>
    <t>Gillian Flynn</t>
  </si>
  <si>
    <t>Good Days Start With Gratitude: A 52 Week Guide To Cultivate An Attitude Of Gratitude: Gratitude Journal</t>
  </si>
  <si>
    <t>Pretty Simple Press</t>
  </si>
  <si>
    <t>Good to Great: Why Some Companies Make the Leap and Others Don't</t>
  </si>
  <si>
    <t>Jim Collins</t>
  </si>
  <si>
    <t>Goodnight Moon</t>
  </si>
  <si>
    <t>Margaret Wise Brown</t>
  </si>
  <si>
    <t>Goodnight, Goodnight Construction Site (Hardcover Books for Toddlers, Preschool Books for Kids)</t>
  </si>
  <si>
    <t>Sherri Duskey Rinker</t>
  </si>
  <si>
    <t>Grain Brain: The Surprising Truth about Wheat, Carbs, and Sugar--Your Brain's Silent Killers</t>
  </si>
  <si>
    <t>David Perlmutter MD</t>
  </si>
  <si>
    <t>Grey: Fifty Shades of Grey as Told by Christian (Fifty Shades of Grey Series)</t>
  </si>
  <si>
    <t>Guts</t>
  </si>
  <si>
    <t>Raina Telgemeier</t>
  </si>
  <si>
    <t>Hamilton: The Revolution</t>
  </si>
  <si>
    <t>Lin-Manuel Miranda</t>
  </si>
  <si>
    <t>Happy, Happy, Happy: My Life and Legacy as the Duck Commander</t>
  </si>
  <si>
    <t>Phil Robertson</t>
  </si>
  <si>
    <t>Harry Potter and the Chamber of Secrets: The Illustrated Edition (Harry Potter, Book 2)</t>
  </si>
  <si>
    <t>Harry Potter and the Cursed Child, Parts 1 &amp; 2, Special Rehearsal Edition Script</t>
  </si>
  <si>
    <t>Harry Potter and the Goblet of Fire: The Illustrated Edition (Harry Potter, Book 4) (4)</t>
  </si>
  <si>
    <t>J. K. Rowling</t>
  </si>
  <si>
    <t>Harry Potter and the Prisoner of Azkaban: The Illustrated Edition (Harry Potter, Book 3)</t>
  </si>
  <si>
    <t>Harry Potter and the Sorcerer's Stone: The Illustrated Edition (Harry Potter, Book 1)</t>
  </si>
  <si>
    <t>Harry Potter Coloring Book</t>
  </si>
  <si>
    <t>Scholastic</t>
  </si>
  <si>
    <t>Harry Potter Paperback Box Set (Books 1-7)</t>
  </si>
  <si>
    <t>Have a Little Faith: A True Story</t>
  </si>
  <si>
    <t>Mitch Albom</t>
  </si>
  <si>
    <t>Heaven is for Real: A Little Boy's Astounding Story of His Trip to Heaven and Back</t>
  </si>
  <si>
    <t>Todd Burpo</t>
  </si>
  <si>
    <t>Hillbilly Elegy: A Memoir of a Family and Culture in Crisis</t>
  </si>
  <si>
    <t>J. D. Vance</t>
  </si>
  <si>
    <t>Homebody: A Guide to Creating Spaces You Never Want to Leave</t>
  </si>
  <si>
    <t>Joanna Gaines</t>
  </si>
  <si>
    <t>How to Win Friends &amp; Influence People</t>
  </si>
  <si>
    <t>Dale Carnegie</t>
  </si>
  <si>
    <t>Howard Stern Comes Again</t>
  </si>
  <si>
    <t>Howard Stern</t>
  </si>
  <si>
    <t>Humans of New York</t>
  </si>
  <si>
    <t>Brandon Stanton</t>
  </si>
  <si>
    <t>Humans of New York : Stories</t>
  </si>
  <si>
    <t>Hyperbole and a Half: Unfortunate Situations, Flawed Coping Mechanisms, Mayhem, and Other Things That Happened</t>
  </si>
  <si>
    <t>Allie Brosh</t>
  </si>
  <si>
    <t>I Am Confident, Brave &amp; Beautiful: A Coloring Book for Girls</t>
  </si>
  <si>
    <t>Hopscotch Girls</t>
  </si>
  <si>
    <t>I, Alex Cross</t>
  </si>
  <si>
    <t>James Patterson</t>
  </si>
  <si>
    <t>If Animals Kissed Good Night</t>
  </si>
  <si>
    <t>Ann Whitford Paul</t>
  </si>
  <si>
    <t>If I Stay</t>
  </si>
  <si>
    <t>Gayle Forman</t>
  </si>
  <si>
    <t>In the Garden of Beasts: Love, Terror, and an American Family in Hitler's Berlin</t>
  </si>
  <si>
    <t>Eric Larson</t>
  </si>
  <si>
    <t>Inferno</t>
  </si>
  <si>
    <t>Dan Brown</t>
  </si>
  <si>
    <t>Inheritance: Book IV (Inheritance Cycle)</t>
  </si>
  <si>
    <t>Christopher Paolini</t>
  </si>
  <si>
    <t>Instant Pot Pressure Cooker Cookbook: 500 Everyday Recipes for Beginners and Advanced Users. Try Easy and Healthy…</t>
  </si>
  <si>
    <t>Jennifer Smith</t>
  </si>
  <si>
    <t>It's Not Supposed to Be This Way: Finding Unexpected Strength When Disappointments Leave You Shattered</t>
  </si>
  <si>
    <t>Lysa TerKeurst</t>
  </si>
  <si>
    <t>Jesus Calling: Enjoying Peace in His Presence (with Scripture References)</t>
  </si>
  <si>
    <t>Sarah Young</t>
  </si>
  <si>
    <t>JOURNEY TO THE ICE P</t>
  </si>
  <si>
    <t>Joyland (Hard Case Crime)</t>
  </si>
  <si>
    <t>Killers of the Flower Moon: The Osage Murders and the Birth of the FBI</t>
  </si>
  <si>
    <t>David Grann</t>
  </si>
  <si>
    <t>Killing Jesus (Bill O'Reilly's Killing Series)</t>
  </si>
  <si>
    <t>Bill O'Reilly</t>
  </si>
  <si>
    <t>Killing Kennedy: The End of Camelot</t>
  </si>
  <si>
    <t>Killing Lincoln: The Shocking Assassination that Changed America Forever (Bill O'Reilly's Killing Series)</t>
  </si>
  <si>
    <t>Killing Patton: The Strange Death of World War II's Most Audacious General (Bill O'Reilly's Killing Series)</t>
  </si>
  <si>
    <t>Killing Reagan: The Violent Assault That Changed a Presidency (Bill O'Reilly's Killing Series)</t>
  </si>
  <si>
    <t>Killing the Rising Sun: How America Vanquished World War II Japan (Bill O'Reilly's Killing Series)</t>
  </si>
  <si>
    <t>Kitchen Confidential Updated Edition: Adventures in the Culinary Underbelly (P.S.)</t>
  </si>
  <si>
    <t>Anthony Bourdain</t>
  </si>
  <si>
    <t>Knock-Knock Jokes for Kids</t>
  </si>
  <si>
    <t>Rob Elliott</t>
  </si>
  <si>
    <t>Last Week Tonight with John Oliver Presents A Day in the Life of Marlon Bundo (Better Bundo Book, LGBT Childrens Book)</t>
  </si>
  <si>
    <t>Jill Twiss</t>
  </si>
  <si>
    <t>Laugh-Out-Loud Jokes for Kids</t>
  </si>
  <si>
    <t>Lean In: Women, Work, and the Will to Lead</t>
  </si>
  <si>
    <t>Sheryl Sandberg</t>
  </si>
  <si>
    <t>Leonardo da Vinci</t>
  </si>
  <si>
    <t>Walter Isaacson</t>
  </si>
  <si>
    <t>Lettering and Modern Calligraphy: A Beginner's Guide: Learn Hand Lettering and Brush Lettering</t>
  </si>
  <si>
    <t>Paper Peony Press</t>
  </si>
  <si>
    <t>Liberty and Tyranny: A Conservative Manifesto</t>
  </si>
  <si>
    <t>Mark R. Levin</t>
  </si>
  <si>
    <t>Life</t>
  </si>
  <si>
    <t>Keith Richards</t>
  </si>
  <si>
    <t>Little Bee: A Novel</t>
  </si>
  <si>
    <t>Chris Cleave</t>
  </si>
  <si>
    <t>Little Blue Truck</t>
  </si>
  <si>
    <t>Alice Schertle</t>
  </si>
  <si>
    <t>Little Fires Everywhere</t>
  </si>
  <si>
    <t>Celeste Ng</t>
  </si>
  <si>
    <t>Looking for Alaska</t>
  </si>
  <si>
    <t>John Green</t>
  </si>
  <si>
    <t>Love Wins: A Book About Heaven, Hell, and the Fate of Every Person Who Ever Lived</t>
  </si>
  <si>
    <t>Rob Bell</t>
  </si>
  <si>
    <t>Love You Forever</t>
  </si>
  <si>
    <t>Robert Munsch</t>
  </si>
  <si>
    <t>Magnolia Table: A Collection of Recipes for Gathering</t>
  </si>
  <si>
    <t>Make It Ahead: A Barefoot Contessa Cookbook</t>
  </si>
  <si>
    <t>Make Your Bed: Little Things That Can Change Your Life...And Maybe the World</t>
  </si>
  <si>
    <t>Admiral William H. McRaven</t>
  </si>
  <si>
    <t>Mastering the Art of French Cooking, Vol. 2</t>
  </si>
  <si>
    <t>Julia Child</t>
  </si>
  <si>
    <t>Milk and Honey</t>
  </si>
  <si>
    <t>Rupi Kaur</t>
  </si>
  <si>
    <t>Milk and Vine: Inspirational Quotes From Classic Vines</t>
  </si>
  <si>
    <t>Adam Gasiewski</t>
  </si>
  <si>
    <t>Mindset: The New Psychology of Success</t>
  </si>
  <si>
    <t>Carol S. Dweck</t>
  </si>
  <si>
    <t>Mockingjay (The Hunger Games)</t>
  </si>
  <si>
    <t>National Geographic Kids Why?: Over 1,111 Answers to Everything</t>
  </si>
  <si>
    <t>Crispin Boyer</t>
  </si>
  <si>
    <t>National Geographic Little Kids First Big Book of Why (National Geographic Little Kids First Big Books)</t>
  </si>
  <si>
    <t>Amy Shields</t>
  </si>
  <si>
    <t>New Moon (The Twilight Saga)</t>
  </si>
  <si>
    <t>Night (Night)</t>
  </si>
  <si>
    <t>Elie Wiesel</t>
  </si>
  <si>
    <t>No Easy Day: The Autobiography of a Navy Seal: The Firsthand Account of the Mission That Killed Osama Bin Laden</t>
  </si>
  <si>
    <t>Mark Owen</t>
  </si>
  <si>
    <t>Obama: An Intimate Portrait</t>
  </si>
  <si>
    <t>Pete Souza</t>
  </si>
  <si>
    <t>Oh, the Places You'll Go!</t>
  </si>
  <si>
    <t>Dr. Seuss</t>
  </si>
  <si>
    <t>Old School (Diary of a Wimpy Kid #10)</t>
  </si>
  <si>
    <t>Olive Kitteridge</t>
  </si>
  <si>
    <t>Elizabeth Strout</t>
  </si>
  <si>
    <t>One Thousand Gifts: A Dare to Live Fully Right Where You Are</t>
  </si>
  <si>
    <t>Ann Voskamp</t>
  </si>
  <si>
    <t>Option B: Facing Adversity, Building Resilience, and Finding Joy</t>
  </si>
  <si>
    <t>Origin: A Novel (Robert Langdon)</t>
  </si>
  <si>
    <t>Orphan Train</t>
  </si>
  <si>
    <t>Christina Baker Kline</t>
  </si>
  <si>
    <t>Outliers: The Story of Success</t>
  </si>
  <si>
    <t>P is for Potty! (Sesame Street) (Lift-the-Flap)</t>
  </si>
  <si>
    <t>Naomi Kleinberg</t>
  </si>
  <si>
    <t>Percy Jackson and the Olympians Paperback Boxed Set (Books 1-3)</t>
  </si>
  <si>
    <t>Rick Riordan</t>
  </si>
  <si>
    <t>Player's Handbook (Dungeons &amp; Dragons)</t>
  </si>
  <si>
    <t>Wizards RPG Team</t>
  </si>
  <si>
    <t>Pokémon Deluxe Essential Handbook: The Need-to-Know Stats and Facts on Over 700 Pokémon</t>
  </si>
  <si>
    <t>Proof of Heaven: A Neurosurgeon's Journey into the Afterlife</t>
  </si>
  <si>
    <t>Eben Alexander</t>
  </si>
  <si>
    <t>Publication Manual of the American Psychological Association, 6th Edition</t>
  </si>
  <si>
    <t>American Psychological Association</t>
  </si>
  <si>
    <t>Puppy Birthday to You! (Paw Patrol) (Little Golden Book)</t>
  </si>
  <si>
    <t>Golden Books</t>
  </si>
  <si>
    <t>Quiet: The Power of Introverts in a World That Can't Stop Talking</t>
  </si>
  <si>
    <t>Susan Cain</t>
  </si>
  <si>
    <t>Radical: Taking Back Your Faith from the American Dream</t>
  </si>
  <si>
    <t>David Platt</t>
  </si>
  <si>
    <t>Ready Player One: A Novel</t>
  </si>
  <si>
    <t>Ernest Cline</t>
  </si>
  <si>
    <t>Rush Revere and the Brave Pilgrims: Time-Travel Adventures with Exceptional Americans (1)</t>
  </si>
  <si>
    <t>Rush Limbaugh</t>
  </si>
  <si>
    <t>Rush Revere and the First Patriots: Time-Travel Adventures With Exceptional Americans (2)</t>
  </si>
  <si>
    <t>Salt, Fat, Acid, Heat: Mastering the Elements of Good Cooking</t>
  </si>
  <si>
    <t>Samin Nosrat</t>
  </si>
  <si>
    <t>Sarah's Key</t>
  </si>
  <si>
    <t>Tatiana de Rosnay</t>
  </si>
  <si>
    <t>School Zone - Big Preschool Workbook - Ages 4 and Up, Colors, Shapes, Numbers 1-10, Alphabet, Pre-Writing, Pre-Reading…</t>
  </si>
  <si>
    <t>School Zone</t>
  </si>
  <si>
    <t>Secret Garden: An Inky Treasure Hunt and Coloring Book (For Adults, mindfulness coloring)</t>
  </si>
  <si>
    <t>Sh*t My Dad Says</t>
  </si>
  <si>
    <t>Justin Halpern</t>
  </si>
  <si>
    <t>Ship of Fools: How a Selfish Ruling Class Is Bringing America to the Brink of Revolution</t>
  </si>
  <si>
    <t>Tucker Carlson</t>
  </si>
  <si>
    <t>Shred: The Revolutionary Diet: 6 Weeks 4 Inches 2 Sizes</t>
  </si>
  <si>
    <t>Ian K. Smith M.D.</t>
  </si>
  <si>
    <t>Sookie Stackhouse</t>
  </si>
  <si>
    <t>Soul Healing Miracles: Ancient and New Sacred Wisdom, Knowledge, and Practical Techniques for Healing the Spiritual…</t>
  </si>
  <si>
    <t>Steve Jobs</t>
  </si>
  <si>
    <t>Strange Planet (Strange Planet Series)</t>
  </si>
  <si>
    <t>Nathan W. Pyle</t>
  </si>
  <si>
    <t>StrengthsFinder 2.0</t>
  </si>
  <si>
    <t>Gallup</t>
  </si>
  <si>
    <t>Super Freakonomics: Global Cooling, Patriotic Prostitutes, and Why Suicide Bombers Should Buy Life Insurance</t>
  </si>
  <si>
    <t>Steven D. Levitt</t>
  </si>
  <si>
    <t>Switch: How to Change Things When Change Is Hard</t>
  </si>
  <si>
    <t>Chip Heath</t>
  </si>
  <si>
    <t>Sycamore Row (Jake Brigance)</t>
  </si>
  <si>
    <t>John Grisham</t>
  </si>
  <si>
    <t>Teach Like a Champion: 49 Techniques that Put Students on the Path to College</t>
  </si>
  <si>
    <t>Doug Lemov</t>
  </si>
  <si>
    <t>The 17 Day Diet: A Doctor's Plan Designed for Rapid Results</t>
  </si>
  <si>
    <t>Mike Moreno</t>
  </si>
  <si>
    <t>The 4 Hour Body: An Uncommon Guide to Rapid Fat Loss, Incredible Sex and Becoming Superhuman</t>
  </si>
  <si>
    <t>Timothy Ferriss</t>
  </si>
  <si>
    <t>The 5 Love Languages: The Secret to Love That Lasts</t>
  </si>
  <si>
    <t>Gary Chapman</t>
  </si>
  <si>
    <t>The 5000 Year Leap</t>
  </si>
  <si>
    <t>W. Cleon Skousen</t>
  </si>
  <si>
    <t>The 7 Habits of Highly Effective People: Powerful Lessons in Personal Change</t>
  </si>
  <si>
    <t>Stephen R. Covey</t>
  </si>
  <si>
    <t>The Alchemist</t>
  </si>
  <si>
    <t>Paulo Coelho</t>
  </si>
  <si>
    <t>The Amateur</t>
  </si>
  <si>
    <t>Edward Klein</t>
  </si>
  <si>
    <t>The Art of Racing in the Rain: A Novel</t>
  </si>
  <si>
    <t>Garth Stein</t>
  </si>
  <si>
    <t>The Big Short: Inside the Doomsday Machine</t>
  </si>
  <si>
    <t>Michael Lewis</t>
  </si>
  <si>
    <t>The Blood of Olympus (The Heroes of Olympus (5))</t>
  </si>
  <si>
    <t>The Blood Sugar Solution: The UltraHealthy Program for Losing Weight, Preventing Disease, and Feeling Great Now!</t>
  </si>
  <si>
    <t>Mark Hyman M.D.</t>
  </si>
  <si>
    <t>The Body Keeps the Score: Brain, Mind, and Body in the Healing of Trauma</t>
  </si>
  <si>
    <t>Bessel van der Kolk M.D.</t>
  </si>
  <si>
    <t>The Book of Basketball: The NBA According to The Sports Guy</t>
  </si>
  <si>
    <t>Bill Simmons</t>
  </si>
  <si>
    <t>The Book Thief</t>
  </si>
  <si>
    <t>Markus Zusak</t>
  </si>
  <si>
    <t>The Book with No Pictures</t>
  </si>
  <si>
    <t>B. J. Novak</t>
  </si>
  <si>
    <t>The Boys in the Boat: Nine Americans and Their Epic Quest for Gold at the 1936 Berlin Olympics</t>
  </si>
  <si>
    <t>Daniel James Brown</t>
  </si>
  <si>
    <t>The Casual Vacancy</t>
  </si>
  <si>
    <t>The China Study: The Most Comprehensive Study of Nutrition Ever Conducted And the Startling Implications for Diet…</t>
  </si>
  <si>
    <t>Thomas Campbell</t>
  </si>
  <si>
    <t>The Complete Ketogenic Diet for Beginners: Your Essential Guide to Living the Keto Lifestyle</t>
  </si>
  <si>
    <t>Amy Ramos</t>
  </si>
  <si>
    <t>The Confession: A Novel</t>
  </si>
  <si>
    <t>The Constitution of the United States</t>
  </si>
  <si>
    <t>Delegates of the Constitutional</t>
  </si>
  <si>
    <t>The Daily Show with Jon Stewart Presents Earth (The Book): A Visitor's Guide to the Human Race</t>
  </si>
  <si>
    <t>Jon Stewart</t>
  </si>
  <si>
    <t>The Day the Crayons Quit</t>
  </si>
  <si>
    <t>Drew Daywalt</t>
  </si>
  <si>
    <t>The Dukan Diet: 2 Steps to Lose the Weight, 2 Steps to Keep It Off Forever</t>
  </si>
  <si>
    <t>Pierre Dukan</t>
  </si>
  <si>
    <t>The Elegance of the Hedgehog</t>
  </si>
  <si>
    <t>Muriel Barbery</t>
  </si>
  <si>
    <t>The Fault in Our Stars</t>
  </si>
  <si>
    <t>The Five Dysfunctions of a Team: A Leadership Fable</t>
  </si>
  <si>
    <t>Patrick Lencioni</t>
  </si>
  <si>
    <t>The Five Love Languages: How to Express Heartfelt Commitment to Your Mate</t>
  </si>
  <si>
    <t>The Four Agreements: A Practical Guide to Personal Freedom (A Toltec Wisdom Book)</t>
  </si>
  <si>
    <t>Don Miguel Ruiz</t>
  </si>
  <si>
    <t>The Getaway</t>
  </si>
  <si>
    <t>The Girl on the Train</t>
  </si>
  <si>
    <t>Paula Hawkins</t>
  </si>
  <si>
    <t>The Girl Who Kicked the Hornet's Nest (Millennium Trilogy)</t>
  </si>
  <si>
    <t>Stieg Larsson</t>
  </si>
  <si>
    <t>The Girl Who Played with Fire (Millennium Series)</t>
  </si>
  <si>
    <t>The Girl Who Played with Fire (Millennium)</t>
  </si>
  <si>
    <t>The Girl with the Dragon Tattoo (Millennium Series)</t>
  </si>
  <si>
    <t>The Going-To-Bed Book</t>
  </si>
  <si>
    <t>Sandra Boynton</t>
  </si>
  <si>
    <t>The Goldfinch: A Novel (Pulitzer Prize for Fiction)</t>
  </si>
  <si>
    <t>Donna Tartt</t>
  </si>
  <si>
    <t>The Great Gatsby</t>
  </si>
  <si>
    <t>F. Scott Fitzgerald</t>
  </si>
  <si>
    <t>The Guardians: A Novel</t>
  </si>
  <si>
    <t>The Guernsey Literary and Potato Peel Pie Society</t>
  </si>
  <si>
    <t>Mary Ann Shaffer</t>
  </si>
  <si>
    <t>The Handmaid's Tale</t>
  </si>
  <si>
    <t>Margaret Atwood</t>
  </si>
  <si>
    <t>The Harbinger: The Ancient Mystery that Holds the Secret of America's Future</t>
  </si>
  <si>
    <t>Jonathan Cahn</t>
  </si>
  <si>
    <t>The Hate U Give</t>
  </si>
  <si>
    <t>Angie Thomas</t>
  </si>
  <si>
    <t>The Help</t>
  </si>
  <si>
    <t>Kathryn Stockett</t>
  </si>
  <si>
    <t>The House of Hades (Heroes of Olympus, Book 4)</t>
  </si>
  <si>
    <t>The Hunger Games</t>
  </si>
  <si>
    <t>The Hunger Games (Book 1)</t>
  </si>
  <si>
    <t>The Hunger Games Trilogy Boxed Set (1)</t>
  </si>
  <si>
    <t>The Immortal Life of Henrietta Lacks</t>
  </si>
  <si>
    <t>Rebecca Skloot</t>
  </si>
  <si>
    <t>The Instant Pot Electric Pressure Cooker Cookbook: Easy Recipes for Fast &amp; Healthy Meals</t>
  </si>
  <si>
    <t>Laurel Randolph</t>
  </si>
  <si>
    <t>The Last Lecture</t>
  </si>
  <si>
    <t>Randy Pausch</t>
  </si>
  <si>
    <t>The Last Olympian (Percy Jackson and the Olympians, Book 5)</t>
  </si>
  <si>
    <t>The Legend of Zelda: Hyrule Historia</t>
  </si>
  <si>
    <t>Patrick Thorpe</t>
  </si>
  <si>
    <t>The Lego Ideas Book: Unlock Your Imagination</t>
  </si>
  <si>
    <t>Daniel Lipkowitz</t>
  </si>
  <si>
    <t>The Life-Changing Magic of Tidying Up: The Japanese Art of Decluttering and Organizing</t>
  </si>
  <si>
    <t>Marie Kondō</t>
  </si>
  <si>
    <t>The Litigators</t>
  </si>
  <si>
    <t>The Lost Hero (Heroes of Olympus, Book 1)</t>
  </si>
  <si>
    <t>The Lost Symbol</t>
  </si>
  <si>
    <t>The Love Dare</t>
  </si>
  <si>
    <t>Stephen Kendrick</t>
  </si>
  <si>
    <t>The Magnolia Story</t>
  </si>
  <si>
    <t>Chip Gaines</t>
  </si>
  <si>
    <t>The Mark of Athena (Heroes of Olympus, Book 3)</t>
  </si>
  <si>
    <t>The Martian</t>
  </si>
  <si>
    <t>Andy Weir</t>
  </si>
  <si>
    <t>The Maze Runner (Book 1)</t>
  </si>
  <si>
    <t>James Dashner</t>
  </si>
  <si>
    <t>The Meltdown (Diary of a Wimpy Kid Book 13)</t>
  </si>
  <si>
    <t>The Mueller Report</t>
  </si>
  <si>
    <t>The Washington Post</t>
  </si>
  <si>
    <t>The Nightingale: A Novel</t>
  </si>
  <si>
    <t>Kristin Hannah</t>
  </si>
  <si>
    <t>The Official SAT Study Guide</t>
  </si>
  <si>
    <t>The College Board</t>
  </si>
  <si>
    <t>The Official SAT Study Guide, 2016 Edition (Official Study Guide for the New Sat)</t>
  </si>
  <si>
    <t>The Paris Wife: A Novel</t>
  </si>
  <si>
    <t>Paula McLain</t>
  </si>
  <si>
    <t>The Pioneer Woman Cooks: A Year of Holidays: 140 Step-by-Step Recipes for Simple, Scrumptious Celebrations</t>
  </si>
  <si>
    <t>Ree Drummond</t>
  </si>
  <si>
    <t>The Pioneer Woman Cooks: Dinnertime - Comfort Classics, Freezer Food, 16-minute Meals, and Other Delicious Ways to Solve…</t>
  </si>
  <si>
    <t>The Pioneer Woman Cooks: Food from My Frontier</t>
  </si>
  <si>
    <t>The Plant Paradox Cookbook: 100 Delicious Recipes to Help You Lose Weight, Heal Your Gut, and Live Lectin-Free</t>
  </si>
  <si>
    <t>Dr. Steven R Gundry MD</t>
  </si>
  <si>
    <t>The Plant Paradox: The Hidden Dangers in "Healthy" Foods That Cause Disease and Weight Gain</t>
  </si>
  <si>
    <t>The Pout-Pout Fish</t>
  </si>
  <si>
    <t>Deborah Diesen</t>
  </si>
  <si>
    <t>The Power of Habit: Why We Do What We Do in Life and Business</t>
  </si>
  <si>
    <t>Charles Duhigg</t>
  </si>
  <si>
    <t>The President Is Missing: A Novel</t>
  </si>
  <si>
    <t>The Racketeer</t>
  </si>
  <si>
    <t>The Red Pyramid (The Kane Chronicles, Book 1)</t>
  </si>
  <si>
    <t>The Road to Serfdom: Text and Documents--The Definitive Edition (The Collected Works of F. A. Hayek, Volume 2)</t>
  </si>
  <si>
    <t>F. A. Hayek</t>
  </si>
  <si>
    <t>The Serpent's Shadow (The Kane Chronicles, Book 3)</t>
  </si>
  <si>
    <t>The Shack: Where Tragedy Confronts Eternity</t>
  </si>
  <si>
    <t>William P. Young</t>
  </si>
  <si>
    <t>The Short Second Life of Bree Tanner: An Eclipse Novella (The Twilight Saga)</t>
  </si>
  <si>
    <t>The Silent Patient</t>
  </si>
  <si>
    <t>Alex Michaelides</t>
  </si>
  <si>
    <t>The Son of Neptune (Heroes of Olympus, Book 2)</t>
  </si>
  <si>
    <t>The Subtle Art of Not Giving a F*ck: A Counterintuitive Approach to Living a Good Life</t>
  </si>
  <si>
    <t>Mark Manson</t>
  </si>
  <si>
    <t>The Sun and Her Flowers</t>
  </si>
  <si>
    <t>The Third Wheel (Diary of a Wimpy Kid, Book 7)</t>
  </si>
  <si>
    <t>The Throne of Fire (The Kane Chronicles, Book 2)</t>
  </si>
  <si>
    <t>The Time Traveler's Wife</t>
  </si>
  <si>
    <t>Audrey Niffenegger</t>
  </si>
  <si>
    <t>The Tipping Point: How Little Things Can Make a Big Difference</t>
  </si>
  <si>
    <t>The Total Money Makeover: Classic Edition: A Proven Plan for Financial Fitness</t>
  </si>
  <si>
    <t>Dave Ramsey</t>
  </si>
  <si>
    <t>The Twilight Saga Collection</t>
  </si>
  <si>
    <t>The Ugly Truth (Diary of a Wimpy Kid, Book 5)</t>
  </si>
  <si>
    <t>The Unofficial Harry Potter Cookbook: From Cauldron Cakes to Knickerbocker Glory--More Than 150 Magical Recipes for…</t>
  </si>
  <si>
    <t>Dinah Bucholz</t>
  </si>
  <si>
    <t>The Very Hungry Caterpillar</t>
  </si>
  <si>
    <t>Eric Carle</t>
  </si>
  <si>
    <t>The Whole30: The 30-Day Guide to Total Health and Food Freedom</t>
  </si>
  <si>
    <t>Melissa Hartwig Urban</t>
  </si>
  <si>
    <t>The Wonderful Things You Will Be</t>
  </si>
  <si>
    <t>Emily Winfield Martin</t>
  </si>
  <si>
    <t>Name+Author</t>
  </si>
  <si>
    <t>Independiente</t>
  </si>
  <si>
    <t>Dependiente</t>
  </si>
  <si>
    <t>Promedio</t>
  </si>
  <si>
    <t>Desviación</t>
  </si>
  <si>
    <t>Max</t>
  </si>
  <si>
    <t>Min</t>
  </si>
  <si>
    <t>Correlación</t>
  </si>
  <si>
    <t>Resumen</t>
  </si>
  <si>
    <t>Estadísticas de la regresión</t>
  </si>
  <si>
    <t>Coeficiente de correlación múltiple</t>
  </si>
  <si>
    <t>Coeficiente de determinación R^2</t>
  </si>
  <si>
    <t>R^2  ajustado</t>
  </si>
  <si>
    <t>Error típico</t>
  </si>
  <si>
    <t>Observaciones</t>
  </si>
  <si>
    <t>ANÁLISIS DE VARIANZA</t>
  </si>
  <si>
    <t>Regresión</t>
  </si>
  <si>
    <t>Residuos</t>
  </si>
  <si>
    <t>Total</t>
  </si>
  <si>
    <t>Intercepción</t>
  </si>
  <si>
    <t>Grados de libertad</t>
  </si>
  <si>
    <t>Suma de cuadrados</t>
  </si>
  <si>
    <t>Promedio de los cuadrados</t>
  </si>
  <si>
    <t>F</t>
  </si>
  <si>
    <t>Valor crítico de F</t>
  </si>
  <si>
    <t>Coeficientes</t>
  </si>
  <si>
    <t>Estadístico t</t>
  </si>
  <si>
    <t>Probabilidad</t>
  </si>
  <si>
    <t>Inferior 95%</t>
  </si>
  <si>
    <t>Superior 95%</t>
  </si>
  <si>
    <t>Inferior 95,0%</t>
  </si>
  <si>
    <t>Superior 95,0%</t>
  </si>
  <si>
    <t>Rango de precio</t>
  </si>
  <si>
    <t>Alto</t>
  </si>
  <si>
    <t>Bajo</t>
  </si>
  <si>
    <t>Medio</t>
  </si>
  <si>
    <t>Total general</t>
  </si>
  <si>
    <t>Promedio de User Rating</t>
  </si>
  <si>
    <t>Rango de precios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</si>
</sst>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Continuous"/>
    </xf>
    <xf numFmtId="0" fontId="0" fillId="0" borderId="0" xfId="0" applyFont="1"/>
    <xf numFmtId="0" fontId="0" fillId="0" borderId="3" xfId="0" pivotButton="1" applyBorder="1"/>
    <xf numFmtId="0" fontId="0" fillId="0" borderId="5" xfId="0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8" xfId="0" applyBorder="1" applyAlignment="1">
      <alignment horizontal="left"/>
    </xf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</cellXfs>
  <cellStyles count="1">
    <cellStyle name="Normal" xfId="0" builtinId="0"/>
  </cellStyles>
  <dxfs count="6">
    <dxf>
      <numFmt numFmtId="164" formatCode="0.0"/>
    </dxf>
    <dxf>
      <numFmt numFmtId="2" formatCode="0.00"/>
    </dxf>
    <dxf>
      <numFmt numFmtId="164" formatCode="0.0"/>
    </dxf>
    <dxf>
      <numFmt numFmtId="1" formatCode="0"/>
    </dxf>
    <dxf>
      <numFmt numFmtId="1" formatCode="0"/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8757217847769026E-2"/>
                  <c:y val="-0.139032516768737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xVal>
            <c:numRef>
              <c:f>Hoja1!$A$2:$A$313</c:f>
              <c:numCache>
                <c:formatCode>General</c:formatCode>
                <c:ptCount val="312"/>
                <c:pt idx="0">
                  <c:v>4.7</c:v>
                </c:pt>
                <c:pt idx="1">
                  <c:v>4.5999999999999996</c:v>
                </c:pt>
                <c:pt idx="2">
                  <c:v>4.7</c:v>
                </c:pt>
                <c:pt idx="3">
                  <c:v>4.7</c:v>
                </c:pt>
                <c:pt idx="4">
                  <c:v>4.8</c:v>
                </c:pt>
                <c:pt idx="5">
                  <c:v>4.4000000000000004</c:v>
                </c:pt>
                <c:pt idx="6">
                  <c:v>4.7</c:v>
                </c:pt>
                <c:pt idx="7">
                  <c:v>4.7</c:v>
                </c:pt>
                <c:pt idx="8">
                  <c:v>4.7</c:v>
                </c:pt>
                <c:pt idx="9">
                  <c:v>4.5999999999999996</c:v>
                </c:pt>
                <c:pt idx="10">
                  <c:v>4.5999999999999996</c:v>
                </c:pt>
                <c:pt idx="11">
                  <c:v>4.5999999999999996</c:v>
                </c:pt>
                <c:pt idx="12">
                  <c:v>4.5</c:v>
                </c:pt>
                <c:pt idx="13">
                  <c:v>4.5999999999999996</c:v>
                </c:pt>
                <c:pt idx="14">
                  <c:v>4.5</c:v>
                </c:pt>
                <c:pt idx="15">
                  <c:v>4.5999999999999996</c:v>
                </c:pt>
                <c:pt idx="16">
                  <c:v>4.4000000000000004</c:v>
                </c:pt>
                <c:pt idx="17">
                  <c:v>4.5</c:v>
                </c:pt>
                <c:pt idx="18">
                  <c:v>4.8</c:v>
                </c:pt>
                <c:pt idx="19">
                  <c:v>4.5999999999999996</c:v>
                </c:pt>
                <c:pt idx="20">
                  <c:v>3.9</c:v>
                </c:pt>
                <c:pt idx="21">
                  <c:v>4.5999999999999996</c:v>
                </c:pt>
                <c:pt idx="22">
                  <c:v>4.3</c:v>
                </c:pt>
                <c:pt idx="23">
                  <c:v>4.5999999999999996</c:v>
                </c:pt>
                <c:pt idx="24">
                  <c:v>4.7</c:v>
                </c:pt>
                <c:pt idx="25">
                  <c:v>4.2</c:v>
                </c:pt>
                <c:pt idx="26">
                  <c:v>4.5999999999999996</c:v>
                </c:pt>
                <c:pt idx="27">
                  <c:v>4.5999999999999996</c:v>
                </c:pt>
                <c:pt idx="28">
                  <c:v>4.8</c:v>
                </c:pt>
                <c:pt idx="29">
                  <c:v>4.7</c:v>
                </c:pt>
                <c:pt idx="30">
                  <c:v>4.8</c:v>
                </c:pt>
                <c:pt idx="31">
                  <c:v>4.8</c:v>
                </c:pt>
                <c:pt idx="32">
                  <c:v>4.7</c:v>
                </c:pt>
                <c:pt idx="33">
                  <c:v>4.7</c:v>
                </c:pt>
                <c:pt idx="34">
                  <c:v>4.5999999999999996</c:v>
                </c:pt>
                <c:pt idx="35">
                  <c:v>4.5</c:v>
                </c:pt>
                <c:pt idx="36">
                  <c:v>4.9000000000000004</c:v>
                </c:pt>
                <c:pt idx="37">
                  <c:v>4.8</c:v>
                </c:pt>
                <c:pt idx="38">
                  <c:v>4.5999999999999996</c:v>
                </c:pt>
                <c:pt idx="39">
                  <c:v>4.8</c:v>
                </c:pt>
                <c:pt idx="40">
                  <c:v>4.5</c:v>
                </c:pt>
                <c:pt idx="41">
                  <c:v>4.7</c:v>
                </c:pt>
                <c:pt idx="42">
                  <c:v>4.7</c:v>
                </c:pt>
                <c:pt idx="43">
                  <c:v>4.7</c:v>
                </c:pt>
                <c:pt idx="44">
                  <c:v>4.3</c:v>
                </c:pt>
                <c:pt idx="45">
                  <c:v>4.8</c:v>
                </c:pt>
                <c:pt idx="46">
                  <c:v>4.8</c:v>
                </c:pt>
                <c:pt idx="47">
                  <c:v>4.5999999999999996</c:v>
                </c:pt>
                <c:pt idx="48">
                  <c:v>4.8</c:v>
                </c:pt>
                <c:pt idx="49">
                  <c:v>4.4000000000000004</c:v>
                </c:pt>
                <c:pt idx="50">
                  <c:v>4.5999999999999996</c:v>
                </c:pt>
                <c:pt idx="51">
                  <c:v>4.3</c:v>
                </c:pt>
                <c:pt idx="52">
                  <c:v>4.2</c:v>
                </c:pt>
                <c:pt idx="53">
                  <c:v>4.8</c:v>
                </c:pt>
                <c:pt idx="54">
                  <c:v>4.5999999999999996</c:v>
                </c:pt>
                <c:pt idx="55">
                  <c:v>4.5999999999999996</c:v>
                </c:pt>
                <c:pt idx="56">
                  <c:v>4.5</c:v>
                </c:pt>
                <c:pt idx="57">
                  <c:v>4.8</c:v>
                </c:pt>
                <c:pt idx="58">
                  <c:v>4.8</c:v>
                </c:pt>
                <c:pt idx="59">
                  <c:v>4.8</c:v>
                </c:pt>
                <c:pt idx="60">
                  <c:v>4.5999999999999996</c:v>
                </c:pt>
                <c:pt idx="61">
                  <c:v>4.5999999999999996</c:v>
                </c:pt>
                <c:pt idx="62">
                  <c:v>4.5</c:v>
                </c:pt>
                <c:pt idx="63">
                  <c:v>4.5999999999999996</c:v>
                </c:pt>
                <c:pt idx="64">
                  <c:v>4.7</c:v>
                </c:pt>
                <c:pt idx="65">
                  <c:v>4.8</c:v>
                </c:pt>
                <c:pt idx="66">
                  <c:v>4.9000000000000004</c:v>
                </c:pt>
                <c:pt idx="67">
                  <c:v>4.9000000000000004</c:v>
                </c:pt>
                <c:pt idx="68">
                  <c:v>4.9000000000000004</c:v>
                </c:pt>
                <c:pt idx="69">
                  <c:v>4.9000000000000004</c:v>
                </c:pt>
                <c:pt idx="70">
                  <c:v>4.9000000000000004</c:v>
                </c:pt>
                <c:pt idx="71">
                  <c:v>4.9000000000000004</c:v>
                </c:pt>
                <c:pt idx="72">
                  <c:v>4.8</c:v>
                </c:pt>
                <c:pt idx="73">
                  <c:v>4.5999999999999996</c:v>
                </c:pt>
                <c:pt idx="74">
                  <c:v>4.5</c:v>
                </c:pt>
                <c:pt idx="75">
                  <c:v>4.5</c:v>
                </c:pt>
                <c:pt idx="76">
                  <c:v>4.3</c:v>
                </c:pt>
                <c:pt idx="77">
                  <c:v>4.5</c:v>
                </c:pt>
                <c:pt idx="78">
                  <c:v>4.7</c:v>
                </c:pt>
                <c:pt idx="79">
                  <c:v>4.7</c:v>
                </c:pt>
                <c:pt idx="80">
                  <c:v>4.7</c:v>
                </c:pt>
                <c:pt idx="81">
                  <c:v>4.7</c:v>
                </c:pt>
                <c:pt idx="82">
                  <c:v>4.5999999999999996</c:v>
                </c:pt>
                <c:pt idx="83">
                  <c:v>4.7</c:v>
                </c:pt>
                <c:pt idx="84">
                  <c:v>4.4000000000000004</c:v>
                </c:pt>
                <c:pt idx="85">
                  <c:v>4.4000000000000004</c:v>
                </c:pt>
                <c:pt idx="86">
                  <c:v>4.5</c:v>
                </c:pt>
                <c:pt idx="87">
                  <c:v>3.8</c:v>
                </c:pt>
                <c:pt idx="88">
                  <c:v>4.5</c:v>
                </c:pt>
                <c:pt idx="89">
                  <c:v>4.2</c:v>
                </c:pt>
                <c:pt idx="90">
                  <c:v>4.7</c:v>
                </c:pt>
                <c:pt idx="91">
                  <c:v>4.4000000000000004</c:v>
                </c:pt>
                <c:pt idx="92">
                  <c:v>4.7</c:v>
                </c:pt>
                <c:pt idx="93">
                  <c:v>4.4000000000000004</c:v>
                </c:pt>
                <c:pt idx="94">
                  <c:v>4.5999999999999996</c:v>
                </c:pt>
                <c:pt idx="95">
                  <c:v>4.5</c:v>
                </c:pt>
                <c:pt idx="96">
                  <c:v>4.5999999999999996</c:v>
                </c:pt>
                <c:pt idx="97">
                  <c:v>4.8</c:v>
                </c:pt>
                <c:pt idx="98">
                  <c:v>4.5999999999999996</c:v>
                </c:pt>
                <c:pt idx="99">
                  <c:v>4.5999999999999996</c:v>
                </c:pt>
                <c:pt idx="100">
                  <c:v>4.5999999999999996</c:v>
                </c:pt>
                <c:pt idx="101">
                  <c:v>3.6</c:v>
                </c:pt>
                <c:pt idx="102">
                  <c:v>4.8</c:v>
                </c:pt>
                <c:pt idx="103">
                  <c:v>4.5999999999999996</c:v>
                </c:pt>
                <c:pt idx="104">
                  <c:v>4</c:v>
                </c:pt>
                <c:pt idx="105">
                  <c:v>4.5999999999999996</c:v>
                </c:pt>
                <c:pt idx="106">
                  <c:v>4.5</c:v>
                </c:pt>
                <c:pt idx="107">
                  <c:v>4.8</c:v>
                </c:pt>
                <c:pt idx="108">
                  <c:v>4.9000000000000004</c:v>
                </c:pt>
                <c:pt idx="109">
                  <c:v>4.5999999999999996</c:v>
                </c:pt>
                <c:pt idx="110">
                  <c:v>4.4000000000000004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4.8</c:v>
                </c:pt>
                <c:pt idx="114">
                  <c:v>4.9000000000000004</c:v>
                </c:pt>
                <c:pt idx="115">
                  <c:v>4</c:v>
                </c:pt>
                <c:pt idx="116">
                  <c:v>4.9000000000000004</c:v>
                </c:pt>
                <c:pt idx="117">
                  <c:v>4.9000000000000004</c:v>
                </c:pt>
                <c:pt idx="118">
                  <c:v>4.9000000000000004</c:v>
                </c:pt>
                <c:pt idx="119">
                  <c:v>4.7</c:v>
                </c:pt>
                <c:pt idx="120">
                  <c:v>4.8</c:v>
                </c:pt>
                <c:pt idx="121">
                  <c:v>4.8</c:v>
                </c:pt>
                <c:pt idx="122">
                  <c:v>4.7</c:v>
                </c:pt>
                <c:pt idx="123">
                  <c:v>4.4000000000000004</c:v>
                </c:pt>
                <c:pt idx="124">
                  <c:v>4.8</c:v>
                </c:pt>
                <c:pt idx="125">
                  <c:v>4.7</c:v>
                </c:pt>
                <c:pt idx="126">
                  <c:v>4.3</c:v>
                </c:pt>
                <c:pt idx="127">
                  <c:v>4.8</c:v>
                </c:pt>
                <c:pt idx="128">
                  <c:v>4.9000000000000004</c:v>
                </c:pt>
                <c:pt idx="129">
                  <c:v>4.7</c:v>
                </c:pt>
                <c:pt idx="130">
                  <c:v>4.8</c:v>
                </c:pt>
                <c:pt idx="131">
                  <c:v>4.5999999999999996</c:v>
                </c:pt>
                <c:pt idx="132">
                  <c:v>4.8</c:v>
                </c:pt>
                <c:pt idx="133">
                  <c:v>4.3</c:v>
                </c:pt>
                <c:pt idx="134">
                  <c:v>4.4000000000000004</c:v>
                </c:pt>
                <c:pt idx="135">
                  <c:v>4.0999999999999996</c:v>
                </c:pt>
                <c:pt idx="136">
                  <c:v>4.5999999999999996</c:v>
                </c:pt>
                <c:pt idx="137">
                  <c:v>4.4000000000000004</c:v>
                </c:pt>
                <c:pt idx="138">
                  <c:v>4.8</c:v>
                </c:pt>
                <c:pt idx="139">
                  <c:v>4.9000000000000004</c:v>
                </c:pt>
                <c:pt idx="140">
                  <c:v>4.5999999999999996</c:v>
                </c:pt>
                <c:pt idx="141">
                  <c:v>4.5</c:v>
                </c:pt>
                <c:pt idx="142">
                  <c:v>4.5999999999999996</c:v>
                </c:pt>
                <c:pt idx="143">
                  <c:v>4.5</c:v>
                </c:pt>
                <c:pt idx="144">
                  <c:v>4.5999999999999996</c:v>
                </c:pt>
                <c:pt idx="145">
                  <c:v>4.7</c:v>
                </c:pt>
                <c:pt idx="146">
                  <c:v>4.5999999999999996</c:v>
                </c:pt>
                <c:pt idx="147">
                  <c:v>4.5999999999999996</c:v>
                </c:pt>
                <c:pt idx="148">
                  <c:v>4.8</c:v>
                </c:pt>
                <c:pt idx="149">
                  <c:v>4.8</c:v>
                </c:pt>
                <c:pt idx="150">
                  <c:v>4.5</c:v>
                </c:pt>
                <c:pt idx="151">
                  <c:v>4.9000000000000004</c:v>
                </c:pt>
                <c:pt idx="152">
                  <c:v>4.5999999999999996</c:v>
                </c:pt>
                <c:pt idx="153">
                  <c:v>4.5</c:v>
                </c:pt>
                <c:pt idx="154">
                  <c:v>4.5</c:v>
                </c:pt>
                <c:pt idx="155">
                  <c:v>4.4000000000000004</c:v>
                </c:pt>
                <c:pt idx="156">
                  <c:v>4.8</c:v>
                </c:pt>
                <c:pt idx="157">
                  <c:v>4.5</c:v>
                </c:pt>
                <c:pt idx="158">
                  <c:v>4.0999999999999996</c:v>
                </c:pt>
                <c:pt idx="159">
                  <c:v>4.9000000000000004</c:v>
                </c:pt>
                <c:pt idx="160">
                  <c:v>4.5</c:v>
                </c:pt>
                <c:pt idx="161">
                  <c:v>4.5</c:v>
                </c:pt>
                <c:pt idx="162">
                  <c:v>4.2</c:v>
                </c:pt>
                <c:pt idx="163">
                  <c:v>4.8</c:v>
                </c:pt>
                <c:pt idx="164">
                  <c:v>4.8</c:v>
                </c:pt>
                <c:pt idx="165">
                  <c:v>4.5</c:v>
                </c:pt>
                <c:pt idx="166">
                  <c:v>4.7</c:v>
                </c:pt>
                <c:pt idx="167">
                  <c:v>4.8</c:v>
                </c:pt>
                <c:pt idx="168">
                  <c:v>4.7</c:v>
                </c:pt>
                <c:pt idx="169">
                  <c:v>4.4000000000000004</c:v>
                </c:pt>
                <c:pt idx="170">
                  <c:v>4.5999999999999996</c:v>
                </c:pt>
                <c:pt idx="171">
                  <c:v>4.5</c:v>
                </c:pt>
                <c:pt idx="172">
                  <c:v>4.8</c:v>
                </c:pt>
                <c:pt idx="173">
                  <c:v>4.8</c:v>
                </c:pt>
                <c:pt idx="174">
                  <c:v>4.5999999999999996</c:v>
                </c:pt>
                <c:pt idx="175">
                  <c:v>4.7</c:v>
                </c:pt>
                <c:pt idx="176">
                  <c:v>4.5999999999999996</c:v>
                </c:pt>
                <c:pt idx="177">
                  <c:v>4.9000000000000004</c:v>
                </c:pt>
                <c:pt idx="178">
                  <c:v>4.9000000000000004</c:v>
                </c:pt>
                <c:pt idx="179">
                  <c:v>4.8</c:v>
                </c:pt>
                <c:pt idx="180">
                  <c:v>4.2</c:v>
                </c:pt>
                <c:pt idx="181">
                  <c:v>4.5999999999999996</c:v>
                </c:pt>
                <c:pt idx="182">
                  <c:v>4.5</c:v>
                </c:pt>
                <c:pt idx="183">
                  <c:v>4.3</c:v>
                </c:pt>
                <c:pt idx="184">
                  <c:v>4.5999999999999996</c:v>
                </c:pt>
                <c:pt idx="185">
                  <c:v>4.5999999999999996</c:v>
                </c:pt>
                <c:pt idx="186">
                  <c:v>4.7</c:v>
                </c:pt>
                <c:pt idx="187">
                  <c:v>4.8</c:v>
                </c:pt>
                <c:pt idx="188">
                  <c:v>4.8</c:v>
                </c:pt>
                <c:pt idx="189">
                  <c:v>4.7</c:v>
                </c:pt>
                <c:pt idx="190">
                  <c:v>4.3</c:v>
                </c:pt>
                <c:pt idx="191">
                  <c:v>4.5</c:v>
                </c:pt>
                <c:pt idx="192">
                  <c:v>4.8</c:v>
                </c:pt>
                <c:pt idx="193">
                  <c:v>4.5999999999999996</c:v>
                </c:pt>
                <c:pt idx="194">
                  <c:v>4.7</c:v>
                </c:pt>
                <c:pt idx="195">
                  <c:v>4.5999999999999996</c:v>
                </c:pt>
                <c:pt idx="196">
                  <c:v>4.9000000000000004</c:v>
                </c:pt>
                <c:pt idx="197">
                  <c:v>4.9000000000000004</c:v>
                </c:pt>
                <c:pt idx="198">
                  <c:v>4.8</c:v>
                </c:pt>
                <c:pt idx="199">
                  <c:v>4.5999999999999996</c:v>
                </c:pt>
                <c:pt idx="200">
                  <c:v>4.8</c:v>
                </c:pt>
                <c:pt idx="201">
                  <c:v>4.7</c:v>
                </c:pt>
                <c:pt idx="202">
                  <c:v>4.7</c:v>
                </c:pt>
                <c:pt idx="203">
                  <c:v>4.8</c:v>
                </c:pt>
                <c:pt idx="204">
                  <c:v>4.0999999999999996</c:v>
                </c:pt>
                <c:pt idx="205">
                  <c:v>4.7</c:v>
                </c:pt>
                <c:pt idx="206">
                  <c:v>4.5999999999999996</c:v>
                </c:pt>
                <c:pt idx="207">
                  <c:v>4.5999999999999996</c:v>
                </c:pt>
                <c:pt idx="208">
                  <c:v>4.9000000000000004</c:v>
                </c:pt>
                <c:pt idx="209">
                  <c:v>4</c:v>
                </c:pt>
                <c:pt idx="210">
                  <c:v>4.5</c:v>
                </c:pt>
                <c:pt idx="211">
                  <c:v>4.5999999999999996</c:v>
                </c:pt>
                <c:pt idx="212">
                  <c:v>4.5</c:v>
                </c:pt>
                <c:pt idx="213">
                  <c:v>4.4000000000000004</c:v>
                </c:pt>
                <c:pt idx="214">
                  <c:v>4.3</c:v>
                </c:pt>
                <c:pt idx="215">
                  <c:v>4.3</c:v>
                </c:pt>
                <c:pt idx="216">
                  <c:v>4.7</c:v>
                </c:pt>
                <c:pt idx="217">
                  <c:v>4.8</c:v>
                </c:pt>
                <c:pt idx="218">
                  <c:v>4.5999999999999996</c:v>
                </c:pt>
                <c:pt idx="219">
                  <c:v>4.7</c:v>
                </c:pt>
                <c:pt idx="220">
                  <c:v>4.5999999999999996</c:v>
                </c:pt>
                <c:pt idx="221">
                  <c:v>4.7</c:v>
                </c:pt>
                <c:pt idx="222">
                  <c:v>4.7</c:v>
                </c:pt>
                <c:pt idx="223">
                  <c:v>4.8</c:v>
                </c:pt>
                <c:pt idx="224">
                  <c:v>4.2</c:v>
                </c:pt>
                <c:pt idx="225">
                  <c:v>4.8</c:v>
                </c:pt>
                <c:pt idx="226">
                  <c:v>4.7</c:v>
                </c:pt>
                <c:pt idx="227">
                  <c:v>4.5999999999999996</c:v>
                </c:pt>
                <c:pt idx="228">
                  <c:v>4.8</c:v>
                </c:pt>
                <c:pt idx="229">
                  <c:v>4.8</c:v>
                </c:pt>
                <c:pt idx="230">
                  <c:v>3.3</c:v>
                </c:pt>
                <c:pt idx="231">
                  <c:v>4.7</c:v>
                </c:pt>
                <c:pt idx="232">
                  <c:v>4.3</c:v>
                </c:pt>
                <c:pt idx="233">
                  <c:v>4.3</c:v>
                </c:pt>
                <c:pt idx="234">
                  <c:v>4.8</c:v>
                </c:pt>
                <c:pt idx="235">
                  <c:v>4.4000000000000004</c:v>
                </c:pt>
                <c:pt idx="236">
                  <c:v>4.8</c:v>
                </c:pt>
                <c:pt idx="237">
                  <c:v>4.0999999999999996</c:v>
                </c:pt>
                <c:pt idx="238">
                  <c:v>4</c:v>
                </c:pt>
                <c:pt idx="239">
                  <c:v>4.7</c:v>
                </c:pt>
                <c:pt idx="240">
                  <c:v>4.5999999999999996</c:v>
                </c:pt>
                <c:pt idx="241">
                  <c:v>4.5999999999999996</c:v>
                </c:pt>
                <c:pt idx="242">
                  <c:v>4.7</c:v>
                </c:pt>
                <c:pt idx="243">
                  <c:v>4.8</c:v>
                </c:pt>
                <c:pt idx="244">
                  <c:v>4.0999999999999996</c:v>
                </c:pt>
                <c:pt idx="245">
                  <c:v>4.7</c:v>
                </c:pt>
                <c:pt idx="246">
                  <c:v>4.7</c:v>
                </c:pt>
                <c:pt idx="247">
                  <c:v>4.7</c:v>
                </c:pt>
                <c:pt idx="248">
                  <c:v>4.4000000000000004</c:v>
                </c:pt>
                <c:pt idx="249">
                  <c:v>4.8</c:v>
                </c:pt>
                <c:pt idx="250">
                  <c:v>3.9</c:v>
                </c:pt>
                <c:pt idx="251">
                  <c:v>4.4000000000000004</c:v>
                </c:pt>
                <c:pt idx="252">
                  <c:v>4.5</c:v>
                </c:pt>
                <c:pt idx="253">
                  <c:v>4.7</c:v>
                </c:pt>
                <c:pt idx="254">
                  <c:v>4.3</c:v>
                </c:pt>
                <c:pt idx="255">
                  <c:v>4.5999999999999996</c:v>
                </c:pt>
                <c:pt idx="256">
                  <c:v>4.8</c:v>
                </c:pt>
                <c:pt idx="257">
                  <c:v>4.8</c:v>
                </c:pt>
                <c:pt idx="258">
                  <c:v>4.8</c:v>
                </c:pt>
                <c:pt idx="259">
                  <c:v>4.7</c:v>
                </c:pt>
                <c:pt idx="260">
                  <c:v>4.7</c:v>
                </c:pt>
                <c:pt idx="261">
                  <c:v>4.8</c:v>
                </c:pt>
                <c:pt idx="262">
                  <c:v>4.7</c:v>
                </c:pt>
                <c:pt idx="263">
                  <c:v>4.3</c:v>
                </c:pt>
                <c:pt idx="264">
                  <c:v>4.7</c:v>
                </c:pt>
                <c:pt idx="265">
                  <c:v>4.8</c:v>
                </c:pt>
                <c:pt idx="266">
                  <c:v>4.9000000000000004</c:v>
                </c:pt>
                <c:pt idx="267">
                  <c:v>4.4000000000000004</c:v>
                </c:pt>
                <c:pt idx="268">
                  <c:v>4.5</c:v>
                </c:pt>
                <c:pt idx="269">
                  <c:v>4.4000000000000004</c:v>
                </c:pt>
                <c:pt idx="270">
                  <c:v>4.8</c:v>
                </c:pt>
                <c:pt idx="271">
                  <c:v>4.2</c:v>
                </c:pt>
                <c:pt idx="272">
                  <c:v>4.8</c:v>
                </c:pt>
                <c:pt idx="273">
                  <c:v>4.9000000000000004</c:v>
                </c:pt>
                <c:pt idx="274">
                  <c:v>4.8</c:v>
                </c:pt>
                <c:pt idx="275">
                  <c:v>4.7</c:v>
                </c:pt>
                <c:pt idx="276">
                  <c:v>4.5</c:v>
                </c:pt>
                <c:pt idx="277">
                  <c:v>4.8</c:v>
                </c:pt>
                <c:pt idx="278">
                  <c:v>4.5999999999999996</c:v>
                </c:pt>
                <c:pt idx="279">
                  <c:v>4.8</c:v>
                </c:pt>
                <c:pt idx="280">
                  <c:v>4.4000000000000004</c:v>
                </c:pt>
                <c:pt idx="281">
                  <c:v>4.3</c:v>
                </c:pt>
                <c:pt idx="282">
                  <c:v>4.3</c:v>
                </c:pt>
                <c:pt idx="283">
                  <c:v>4.8</c:v>
                </c:pt>
                <c:pt idx="284">
                  <c:v>4.8</c:v>
                </c:pt>
                <c:pt idx="285">
                  <c:v>4.8</c:v>
                </c:pt>
                <c:pt idx="286">
                  <c:v>4.5</c:v>
                </c:pt>
                <c:pt idx="287">
                  <c:v>4.4000000000000004</c:v>
                </c:pt>
                <c:pt idx="288">
                  <c:v>4.8</c:v>
                </c:pt>
                <c:pt idx="289">
                  <c:v>4.5999999999999996</c:v>
                </c:pt>
                <c:pt idx="290">
                  <c:v>4.3</c:v>
                </c:pt>
                <c:pt idx="291">
                  <c:v>4.3</c:v>
                </c:pt>
                <c:pt idx="292">
                  <c:v>4.5999999999999996</c:v>
                </c:pt>
                <c:pt idx="293">
                  <c:v>4.5999999999999996</c:v>
                </c:pt>
                <c:pt idx="294">
                  <c:v>4.8</c:v>
                </c:pt>
                <c:pt idx="295">
                  <c:v>4.5999999999999996</c:v>
                </c:pt>
                <c:pt idx="296">
                  <c:v>4.5999999999999996</c:v>
                </c:pt>
                <c:pt idx="297">
                  <c:v>4.5</c:v>
                </c:pt>
                <c:pt idx="298">
                  <c:v>4.8</c:v>
                </c:pt>
                <c:pt idx="299">
                  <c:v>4.5999999999999996</c:v>
                </c:pt>
                <c:pt idx="300">
                  <c:v>4.7</c:v>
                </c:pt>
                <c:pt idx="301">
                  <c:v>4.7</c:v>
                </c:pt>
                <c:pt idx="302">
                  <c:v>4.7</c:v>
                </c:pt>
                <c:pt idx="303">
                  <c:v>4.4000000000000004</c:v>
                </c:pt>
                <c:pt idx="304">
                  <c:v>4.4000000000000004</c:v>
                </c:pt>
                <c:pt idx="305">
                  <c:v>4.7</c:v>
                </c:pt>
                <c:pt idx="306">
                  <c:v>4.7</c:v>
                </c:pt>
                <c:pt idx="307">
                  <c:v>4.8</c:v>
                </c:pt>
                <c:pt idx="308">
                  <c:v>4.7</c:v>
                </c:pt>
                <c:pt idx="309">
                  <c:v>4.9000000000000004</c:v>
                </c:pt>
                <c:pt idx="310">
                  <c:v>4.5999999999999996</c:v>
                </c:pt>
                <c:pt idx="311">
                  <c:v>4.9000000000000004</c:v>
                </c:pt>
              </c:numCache>
            </c:numRef>
          </c:xVal>
          <c:yVal>
            <c:numRef>
              <c:f>Hoja1!$B$2:$B$313</c:f>
              <c:numCache>
                <c:formatCode>General</c:formatCode>
                <c:ptCount val="312"/>
                <c:pt idx="0">
                  <c:v>8</c:v>
                </c:pt>
                <c:pt idx="1">
                  <c:v>22</c:v>
                </c:pt>
                <c:pt idx="2">
                  <c:v>15</c:v>
                </c:pt>
                <c:pt idx="3">
                  <c:v>6</c:v>
                </c:pt>
                <c:pt idx="4">
                  <c:v>12</c:v>
                </c:pt>
                <c:pt idx="5">
                  <c:v>11</c:v>
                </c:pt>
                <c:pt idx="6">
                  <c:v>30</c:v>
                </c:pt>
                <c:pt idx="7">
                  <c:v>15</c:v>
                </c:pt>
                <c:pt idx="8">
                  <c:v>3</c:v>
                </c:pt>
                <c:pt idx="9">
                  <c:v>8</c:v>
                </c:pt>
                <c:pt idx="10">
                  <c:v>2</c:v>
                </c:pt>
                <c:pt idx="11">
                  <c:v>32</c:v>
                </c:pt>
                <c:pt idx="12">
                  <c:v>5</c:v>
                </c:pt>
                <c:pt idx="13">
                  <c:v>17</c:v>
                </c:pt>
                <c:pt idx="14">
                  <c:v>4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13</c:v>
                </c:pt>
                <c:pt idx="19">
                  <c:v>14</c:v>
                </c:pt>
                <c:pt idx="20">
                  <c:v>13</c:v>
                </c:pt>
                <c:pt idx="21">
                  <c:v>9</c:v>
                </c:pt>
                <c:pt idx="22">
                  <c:v>13</c:v>
                </c:pt>
                <c:pt idx="23">
                  <c:v>5</c:v>
                </c:pt>
                <c:pt idx="24">
                  <c:v>9</c:v>
                </c:pt>
                <c:pt idx="25">
                  <c:v>14</c:v>
                </c:pt>
                <c:pt idx="26">
                  <c:v>5</c:v>
                </c:pt>
                <c:pt idx="27">
                  <c:v>11</c:v>
                </c:pt>
                <c:pt idx="28">
                  <c:v>24</c:v>
                </c:pt>
                <c:pt idx="29">
                  <c:v>21</c:v>
                </c:pt>
                <c:pt idx="30">
                  <c:v>11</c:v>
                </c:pt>
                <c:pt idx="31">
                  <c:v>15</c:v>
                </c:pt>
                <c:pt idx="32">
                  <c:v>13</c:v>
                </c:pt>
                <c:pt idx="33">
                  <c:v>18</c:v>
                </c:pt>
                <c:pt idx="34">
                  <c:v>13</c:v>
                </c:pt>
                <c:pt idx="35">
                  <c:v>8</c:v>
                </c:pt>
                <c:pt idx="36">
                  <c:v>5</c:v>
                </c:pt>
                <c:pt idx="37">
                  <c:v>0</c:v>
                </c:pt>
                <c:pt idx="38">
                  <c:v>4</c:v>
                </c:pt>
                <c:pt idx="39">
                  <c:v>18</c:v>
                </c:pt>
                <c:pt idx="40">
                  <c:v>28</c:v>
                </c:pt>
                <c:pt idx="41">
                  <c:v>11</c:v>
                </c:pt>
                <c:pt idx="42">
                  <c:v>16</c:v>
                </c:pt>
                <c:pt idx="43">
                  <c:v>14</c:v>
                </c:pt>
                <c:pt idx="44">
                  <c:v>8</c:v>
                </c:pt>
                <c:pt idx="45">
                  <c:v>4</c:v>
                </c:pt>
                <c:pt idx="46">
                  <c:v>5</c:v>
                </c:pt>
                <c:pt idx="47">
                  <c:v>11</c:v>
                </c:pt>
                <c:pt idx="48">
                  <c:v>10</c:v>
                </c:pt>
                <c:pt idx="49">
                  <c:v>13</c:v>
                </c:pt>
                <c:pt idx="50">
                  <c:v>4</c:v>
                </c:pt>
                <c:pt idx="51">
                  <c:v>8</c:v>
                </c:pt>
                <c:pt idx="52">
                  <c:v>4</c:v>
                </c:pt>
                <c:pt idx="53">
                  <c:v>5</c:v>
                </c:pt>
                <c:pt idx="54">
                  <c:v>17</c:v>
                </c:pt>
                <c:pt idx="55">
                  <c:v>15</c:v>
                </c:pt>
                <c:pt idx="56">
                  <c:v>105</c:v>
                </c:pt>
                <c:pt idx="57">
                  <c:v>0</c:v>
                </c:pt>
                <c:pt idx="58">
                  <c:v>15</c:v>
                </c:pt>
                <c:pt idx="59">
                  <c:v>22</c:v>
                </c:pt>
                <c:pt idx="60">
                  <c:v>5</c:v>
                </c:pt>
                <c:pt idx="61">
                  <c:v>15</c:v>
                </c:pt>
                <c:pt idx="62">
                  <c:v>6</c:v>
                </c:pt>
                <c:pt idx="63">
                  <c:v>6</c:v>
                </c:pt>
                <c:pt idx="64">
                  <c:v>13</c:v>
                </c:pt>
                <c:pt idx="65">
                  <c:v>12</c:v>
                </c:pt>
                <c:pt idx="66">
                  <c:v>6</c:v>
                </c:pt>
                <c:pt idx="67">
                  <c:v>8</c:v>
                </c:pt>
                <c:pt idx="68">
                  <c:v>4</c:v>
                </c:pt>
                <c:pt idx="69">
                  <c:v>8</c:v>
                </c:pt>
                <c:pt idx="70">
                  <c:v>8</c:v>
                </c:pt>
                <c:pt idx="71">
                  <c:v>6</c:v>
                </c:pt>
                <c:pt idx="72">
                  <c:v>20</c:v>
                </c:pt>
                <c:pt idx="73">
                  <c:v>5</c:v>
                </c:pt>
                <c:pt idx="74">
                  <c:v>16</c:v>
                </c:pt>
                <c:pt idx="75">
                  <c:v>1</c:v>
                </c:pt>
                <c:pt idx="76">
                  <c:v>14</c:v>
                </c:pt>
                <c:pt idx="77">
                  <c:v>9</c:v>
                </c:pt>
                <c:pt idx="78">
                  <c:v>7</c:v>
                </c:pt>
                <c:pt idx="79">
                  <c:v>18</c:v>
                </c:pt>
                <c:pt idx="80">
                  <c:v>15</c:v>
                </c:pt>
                <c:pt idx="81">
                  <c:v>9</c:v>
                </c:pt>
                <c:pt idx="82">
                  <c:v>8</c:v>
                </c:pt>
                <c:pt idx="83">
                  <c:v>15</c:v>
                </c:pt>
                <c:pt idx="84">
                  <c:v>2</c:v>
                </c:pt>
                <c:pt idx="85">
                  <c:v>7</c:v>
                </c:pt>
                <c:pt idx="86">
                  <c:v>11</c:v>
                </c:pt>
                <c:pt idx="87">
                  <c:v>14</c:v>
                </c:pt>
                <c:pt idx="88">
                  <c:v>32</c:v>
                </c:pt>
                <c:pt idx="89">
                  <c:v>6</c:v>
                </c:pt>
                <c:pt idx="90">
                  <c:v>4</c:v>
                </c:pt>
                <c:pt idx="91">
                  <c:v>9</c:v>
                </c:pt>
                <c:pt idx="92">
                  <c:v>0</c:v>
                </c:pt>
                <c:pt idx="93">
                  <c:v>9</c:v>
                </c:pt>
                <c:pt idx="94">
                  <c:v>5</c:v>
                </c:pt>
                <c:pt idx="95">
                  <c:v>20</c:v>
                </c:pt>
                <c:pt idx="96">
                  <c:v>16</c:v>
                </c:pt>
                <c:pt idx="97">
                  <c:v>4</c:v>
                </c:pt>
                <c:pt idx="98">
                  <c:v>12</c:v>
                </c:pt>
                <c:pt idx="99">
                  <c:v>12</c:v>
                </c:pt>
                <c:pt idx="100">
                  <c:v>11</c:v>
                </c:pt>
                <c:pt idx="101">
                  <c:v>19</c:v>
                </c:pt>
                <c:pt idx="102">
                  <c:v>9</c:v>
                </c:pt>
                <c:pt idx="103">
                  <c:v>6</c:v>
                </c:pt>
                <c:pt idx="104">
                  <c:v>10</c:v>
                </c:pt>
                <c:pt idx="105">
                  <c:v>6</c:v>
                </c:pt>
                <c:pt idx="106">
                  <c:v>14</c:v>
                </c:pt>
                <c:pt idx="107">
                  <c:v>5</c:v>
                </c:pt>
                <c:pt idx="108">
                  <c:v>7</c:v>
                </c:pt>
                <c:pt idx="109">
                  <c:v>10</c:v>
                </c:pt>
                <c:pt idx="110">
                  <c:v>14</c:v>
                </c:pt>
                <c:pt idx="111">
                  <c:v>7</c:v>
                </c:pt>
                <c:pt idx="112">
                  <c:v>54</c:v>
                </c:pt>
                <c:pt idx="113">
                  <c:v>11</c:v>
                </c:pt>
                <c:pt idx="114">
                  <c:v>30</c:v>
                </c:pt>
                <c:pt idx="115">
                  <c:v>12</c:v>
                </c:pt>
                <c:pt idx="116">
                  <c:v>18</c:v>
                </c:pt>
                <c:pt idx="117">
                  <c:v>30</c:v>
                </c:pt>
                <c:pt idx="118">
                  <c:v>22</c:v>
                </c:pt>
                <c:pt idx="119">
                  <c:v>9</c:v>
                </c:pt>
                <c:pt idx="120">
                  <c:v>52</c:v>
                </c:pt>
                <c:pt idx="121">
                  <c:v>4</c:v>
                </c:pt>
                <c:pt idx="122">
                  <c:v>10</c:v>
                </c:pt>
                <c:pt idx="123">
                  <c:v>14</c:v>
                </c:pt>
                <c:pt idx="124">
                  <c:v>22</c:v>
                </c:pt>
                <c:pt idx="125">
                  <c:v>11</c:v>
                </c:pt>
                <c:pt idx="126">
                  <c:v>16</c:v>
                </c:pt>
                <c:pt idx="127">
                  <c:v>15</c:v>
                </c:pt>
                <c:pt idx="128">
                  <c:v>17</c:v>
                </c:pt>
                <c:pt idx="129">
                  <c:v>17</c:v>
                </c:pt>
                <c:pt idx="130">
                  <c:v>7</c:v>
                </c:pt>
                <c:pt idx="131">
                  <c:v>7</c:v>
                </c:pt>
                <c:pt idx="132">
                  <c:v>4</c:v>
                </c:pt>
                <c:pt idx="133">
                  <c:v>9</c:v>
                </c:pt>
                <c:pt idx="134">
                  <c:v>21</c:v>
                </c:pt>
                <c:pt idx="135">
                  <c:v>14</c:v>
                </c:pt>
                <c:pt idx="136">
                  <c:v>20</c:v>
                </c:pt>
                <c:pt idx="137">
                  <c:v>13</c:v>
                </c:pt>
                <c:pt idx="138">
                  <c:v>12</c:v>
                </c:pt>
                <c:pt idx="139">
                  <c:v>8</c:v>
                </c:pt>
                <c:pt idx="140">
                  <c:v>0</c:v>
                </c:pt>
                <c:pt idx="141">
                  <c:v>12</c:v>
                </c:pt>
                <c:pt idx="142">
                  <c:v>17</c:v>
                </c:pt>
                <c:pt idx="143">
                  <c:v>12</c:v>
                </c:pt>
                <c:pt idx="144">
                  <c:v>25</c:v>
                </c:pt>
                <c:pt idx="145">
                  <c:v>10</c:v>
                </c:pt>
                <c:pt idx="146">
                  <c:v>6</c:v>
                </c:pt>
                <c:pt idx="147">
                  <c:v>5</c:v>
                </c:pt>
                <c:pt idx="148">
                  <c:v>6</c:v>
                </c:pt>
                <c:pt idx="149">
                  <c:v>8</c:v>
                </c:pt>
                <c:pt idx="150">
                  <c:v>4</c:v>
                </c:pt>
                <c:pt idx="151">
                  <c:v>13</c:v>
                </c:pt>
                <c:pt idx="152">
                  <c:v>4</c:v>
                </c:pt>
                <c:pt idx="153">
                  <c:v>13</c:v>
                </c:pt>
                <c:pt idx="154">
                  <c:v>21</c:v>
                </c:pt>
                <c:pt idx="155">
                  <c:v>6</c:v>
                </c:pt>
                <c:pt idx="156">
                  <c:v>15</c:v>
                </c:pt>
                <c:pt idx="157">
                  <c:v>18</c:v>
                </c:pt>
                <c:pt idx="158">
                  <c:v>10</c:v>
                </c:pt>
                <c:pt idx="159">
                  <c:v>0</c:v>
                </c:pt>
                <c:pt idx="160">
                  <c:v>12</c:v>
                </c:pt>
                <c:pt idx="161">
                  <c:v>7</c:v>
                </c:pt>
                <c:pt idx="162">
                  <c:v>13</c:v>
                </c:pt>
                <c:pt idx="163">
                  <c:v>5</c:v>
                </c:pt>
                <c:pt idx="164">
                  <c:v>16</c:v>
                </c:pt>
                <c:pt idx="165">
                  <c:v>20</c:v>
                </c:pt>
                <c:pt idx="166">
                  <c:v>11</c:v>
                </c:pt>
                <c:pt idx="167">
                  <c:v>27</c:v>
                </c:pt>
                <c:pt idx="168">
                  <c:v>8</c:v>
                </c:pt>
                <c:pt idx="169">
                  <c:v>6</c:v>
                </c:pt>
                <c:pt idx="170">
                  <c:v>10</c:v>
                </c:pt>
                <c:pt idx="171">
                  <c:v>8</c:v>
                </c:pt>
                <c:pt idx="172">
                  <c:v>16</c:v>
                </c:pt>
                <c:pt idx="173">
                  <c:v>11</c:v>
                </c:pt>
                <c:pt idx="174">
                  <c:v>10</c:v>
                </c:pt>
                <c:pt idx="175">
                  <c:v>9</c:v>
                </c:pt>
                <c:pt idx="176">
                  <c:v>14</c:v>
                </c:pt>
                <c:pt idx="177">
                  <c:v>22</c:v>
                </c:pt>
                <c:pt idx="178">
                  <c:v>8</c:v>
                </c:pt>
                <c:pt idx="179">
                  <c:v>7</c:v>
                </c:pt>
                <c:pt idx="180">
                  <c:v>12</c:v>
                </c:pt>
                <c:pt idx="181">
                  <c:v>13</c:v>
                </c:pt>
                <c:pt idx="182">
                  <c:v>9</c:v>
                </c:pt>
                <c:pt idx="183">
                  <c:v>13</c:v>
                </c:pt>
                <c:pt idx="184">
                  <c:v>11</c:v>
                </c:pt>
                <c:pt idx="185">
                  <c:v>20</c:v>
                </c:pt>
                <c:pt idx="186">
                  <c:v>5</c:v>
                </c:pt>
                <c:pt idx="187">
                  <c:v>2</c:v>
                </c:pt>
                <c:pt idx="188">
                  <c:v>27</c:v>
                </c:pt>
                <c:pt idx="189">
                  <c:v>9</c:v>
                </c:pt>
                <c:pt idx="190">
                  <c:v>10</c:v>
                </c:pt>
                <c:pt idx="191">
                  <c:v>46</c:v>
                </c:pt>
                <c:pt idx="192">
                  <c:v>4</c:v>
                </c:pt>
                <c:pt idx="193">
                  <c:v>20</c:v>
                </c:pt>
                <c:pt idx="194">
                  <c:v>9</c:v>
                </c:pt>
                <c:pt idx="195">
                  <c:v>12</c:v>
                </c:pt>
                <c:pt idx="196">
                  <c:v>12</c:v>
                </c:pt>
                <c:pt idx="197">
                  <c:v>12</c:v>
                </c:pt>
                <c:pt idx="198">
                  <c:v>20</c:v>
                </c:pt>
                <c:pt idx="199">
                  <c:v>10</c:v>
                </c:pt>
                <c:pt idx="200">
                  <c:v>6</c:v>
                </c:pt>
                <c:pt idx="201">
                  <c:v>9</c:v>
                </c:pt>
                <c:pt idx="202">
                  <c:v>11</c:v>
                </c:pt>
                <c:pt idx="203">
                  <c:v>16</c:v>
                </c:pt>
                <c:pt idx="204">
                  <c:v>6</c:v>
                </c:pt>
                <c:pt idx="205">
                  <c:v>25</c:v>
                </c:pt>
                <c:pt idx="206">
                  <c:v>17</c:v>
                </c:pt>
                <c:pt idx="207">
                  <c:v>20</c:v>
                </c:pt>
                <c:pt idx="208">
                  <c:v>6</c:v>
                </c:pt>
                <c:pt idx="209">
                  <c:v>17</c:v>
                </c:pt>
                <c:pt idx="210">
                  <c:v>18</c:v>
                </c:pt>
                <c:pt idx="211">
                  <c:v>13</c:v>
                </c:pt>
                <c:pt idx="212">
                  <c:v>18</c:v>
                </c:pt>
                <c:pt idx="213">
                  <c:v>20</c:v>
                </c:pt>
                <c:pt idx="214">
                  <c:v>22</c:v>
                </c:pt>
                <c:pt idx="215">
                  <c:v>21</c:v>
                </c:pt>
                <c:pt idx="216">
                  <c:v>28</c:v>
                </c:pt>
                <c:pt idx="217">
                  <c:v>12</c:v>
                </c:pt>
                <c:pt idx="218">
                  <c:v>24</c:v>
                </c:pt>
                <c:pt idx="219">
                  <c:v>39</c:v>
                </c:pt>
                <c:pt idx="220">
                  <c:v>9</c:v>
                </c:pt>
                <c:pt idx="221">
                  <c:v>10</c:v>
                </c:pt>
                <c:pt idx="222">
                  <c:v>17</c:v>
                </c:pt>
                <c:pt idx="223">
                  <c:v>11</c:v>
                </c:pt>
                <c:pt idx="224">
                  <c:v>14</c:v>
                </c:pt>
                <c:pt idx="225">
                  <c:v>12</c:v>
                </c:pt>
                <c:pt idx="226">
                  <c:v>53</c:v>
                </c:pt>
                <c:pt idx="227">
                  <c:v>6</c:v>
                </c:pt>
                <c:pt idx="228">
                  <c:v>8</c:v>
                </c:pt>
                <c:pt idx="229">
                  <c:v>12</c:v>
                </c:pt>
                <c:pt idx="230">
                  <c:v>12</c:v>
                </c:pt>
                <c:pt idx="231">
                  <c:v>21</c:v>
                </c:pt>
                <c:pt idx="232">
                  <c:v>6</c:v>
                </c:pt>
                <c:pt idx="233">
                  <c:v>13</c:v>
                </c:pt>
                <c:pt idx="234">
                  <c:v>0</c:v>
                </c:pt>
                <c:pt idx="235">
                  <c:v>11</c:v>
                </c:pt>
                <c:pt idx="236">
                  <c:v>9</c:v>
                </c:pt>
                <c:pt idx="237">
                  <c:v>15</c:v>
                </c:pt>
                <c:pt idx="238">
                  <c:v>11</c:v>
                </c:pt>
                <c:pt idx="239">
                  <c:v>13</c:v>
                </c:pt>
                <c:pt idx="240">
                  <c:v>6</c:v>
                </c:pt>
                <c:pt idx="241">
                  <c:v>9</c:v>
                </c:pt>
                <c:pt idx="242">
                  <c:v>6</c:v>
                </c:pt>
                <c:pt idx="243">
                  <c:v>0</c:v>
                </c:pt>
                <c:pt idx="244">
                  <c:v>18</c:v>
                </c:pt>
                <c:pt idx="245">
                  <c:v>14</c:v>
                </c:pt>
                <c:pt idx="246">
                  <c:v>9</c:v>
                </c:pt>
                <c:pt idx="247">
                  <c:v>16</c:v>
                </c:pt>
                <c:pt idx="248">
                  <c:v>2</c:v>
                </c:pt>
                <c:pt idx="249">
                  <c:v>5</c:v>
                </c:pt>
                <c:pt idx="250">
                  <c:v>20</c:v>
                </c:pt>
                <c:pt idx="251">
                  <c:v>7</c:v>
                </c:pt>
                <c:pt idx="252">
                  <c:v>14</c:v>
                </c:pt>
                <c:pt idx="253">
                  <c:v>10</c:v>
                </c:pt>
                <c:pt idx="254">
                  <c:v>7</c:v>
                </c:pt>
                <c:pt idx="255">
                  <c:v>13</c:v>
                </c:pt>
                <c:pt idx="256">
                  <c:v>11</c:v>
                </c:pt>
                <c:pt idx="257">
                  <c:v>6</c:v>
                </c:pt>
                <c:pt idx="258">
                  <c:v>14</c:v>
                </c:pt>
                <c:pt idx="259">
                  <c:v>14</c:v>
                </c:pt>
                <c:pt idx="260">
                  <c:v>8</c:v>
                </c:pt>
                <c:pt idx="261">
                  <c:v>30</c:v>
                </c:pt>
                <c:pt idx="262">
                  <c:v>13</c:v>
                </c:pt>
                <c:pt idx="263">
                  <c:v>7</c:v>
                </c:pt>
                <c:pt idx="264">
                  <c:v>9</c:v>
                </c:pt>
                <c:pt idx="265">
                  <c:v>7</c:v>
                </c:pt>
                <c:pt idx="266">
                  <c:v>20</c:v>
                </c:pt>
                <c:pt idx="267">
                  <c:v>13</c:v>
                </c:pt>
                <c:pt idx="268">
                  <c:v>11</c:v>
                </c:pt>
                <c:pt idx="269">
                  <c:v>18</c:v>
                </c:pt>
                <c:pt idx="270">
                  <c:v>14</c:v>
                </c:pt>
                <c:pt idx="271">
                  <c:v>19</c:v>
                </c:pt>
                <c:pt idx="272">
                  <c:v>13</c:v>
                </c:pt>
                <c:pt idx="273">
                  <c:v>5</c:v>
                </c:pt>
                <c:pt idx="274">
                  <c:v>10</c:v>
                </c:pt>
                <c:pt idx="275">
                  <c:v>9</c:v>
                </c:pt>
                <c:pt idx="276">
                  <c:v>8</c:v>
                </c:pt>
                <c:pt idx="277">
                  <c:v>8</c:v>
                </c:pt>
                <c:pt idx="278">
                  <c:v>12</c:v>
                </c:pt>
                <c:pt idx="279">
                  <c:v>11</c:v>
                </c:pt>
                <c:pt idx="280">
                  <c:v>40</c:v>
                </c:pt>
                <c:pt idx="281">
                  <c:v>36</c:v>
                </c:pt>
                <c:pt idx="282">
                  <c:v>16</c:v>
                </c:pt>
                <c:pt idx="283">
                  <c:v>17</c:v>
                </c:pt>
                <c:pt idx="284">
                  <c:v>14</c:v>
                </c:pt>
                <c:pt idx="285">
                  <c:v>21</c:v>
                </c:pt>
                <c:pt idx="286">
                  <c:v>18</c:v>
                </c:pt>
                <c:pt idx="287">
                  <c:v>17</c:v>
                </c:pt>
                <c:pt idx="288">
                  <c:v>5</c:v>
                </c:pt>
                <c:pt idx="289">
                  <c:v>21</c:v>
                </c:pt>
                <c:pt idx="290">
                  <c:v>18</c:v>
                </c:pt>
                <c:pt idx="291">
                  <c:v>18</c:v>
                </c:pt>
                <c:pt idx="292">
                  <c:v>12</c:v>
                </c:pt>
                <c:pt idx="293">
                  <c:v>14</c:v>
                </c:pt>
                <c:pt idx="294">
                  <c:v>12</c:v>
                </c:pt>
                <c:pt idx="295">
                  <c:v>8</c:v>
                </c:pt>
                <c:pt idx="296">
                  <c:v>0</c:v>
                </c:pt>
                <c:pt idx="297">
                  <c:v>14</c:v>
                </c:pt>
                <c:pt idx="298">
                  <c:v>10</c:v>
                </c:pt>
                <c:pt idx="299">
                  <c:v>15</c:v>
                </c:pt>
                <c:pt idx="300">
                  <c:v>9</c:v>
                </c:pt>
                <c:pt idx="301">
                  <c:v>7</c:v>
                </c:pt>
                <c:pt idx="302">
                  <c:v>10</c:v>
                </c:pt>
                <c:pt idx="303">
                  <c:v>6</c:v>
                </c:pt>
                <c:pt idx="304">
                  <c:v>9</c:v>
                </c:pt>
                <c:pt idx="305">
                  <c:v>10</c:v>
                </c:pt>
                <c:pt idx="306">
                  <c:v>82</c:v>
                </c:pt>
                <c:pt idx="307">
                  <c:v>12</c:v>
                </c:pt>
                <c:pt idx="308">
                  <c:v>10</c:v>
                </c:pt>
                <c:pt idx="309">
                  <c:v>5</c:v>
                </c:pt>
                <c:pt idx="310">
                  <c:v>16</c:v>
                </c:pt>
                <c:pt idx="31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AF-4EF3-B7CC-9E9213C7C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3661807"/>
        <c:axId val="924286735"/>
      </c:scatterChart>
      <c:valAx>
        <c:axId val="107366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Rating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24286735"/>
        <c:crosses val="autoZero"/>
        <c:crossBetween val="midCat"/>
      </c:valAx>
      <c:valAx>
        <c:axId val="92428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73661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476250</xdr:colOff>
      <xdr:row>2</xdr:row>
      <xdr:rowOff>152400</xdr:rowOff>
    </xdr:from>
    <xdr:to>
      <xdr:col>8</xdr:col>
      <xdr:colOff>476250</xdr:colOff>
      <xdr:row>17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1B883A-A636-4955-A11D-AB95CC4AB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QUIPO" refreshedDate="46063.418051157409" createdVersion="6" refreshedVersion="6" minRefreshableVersion="3" recordCount="316" xr:uid="{3DF8D564-7FE1-4A58-9A9D-951F7B3C8D26}">
  <cacheSource type="worksheet">
    <worksheetSource ref="A2:I318" sheet="Worksheet"/>
  </cacheSource>
  <cacheFields count="9">
    <cacheField name="Name" numFmtId="0">
      <sharedItems/>
    </cacheField>
    <cacheField name="Author" numFmtId="0">
      <sharedItems containsBlank="1"/>
    </cacheField>
    <cacheField name="User Rating" numFmtId="0">
      <sharedItems containsSemiMixedTypes="0" containsString="0" containsNumber="1" minValue="0.23106796013835049" maxValue="4.9000000000000004"/>
    </cacheField>
    <cacheField name="Reviews" numFmtId="0">
      <sharedItems containsString="0" containsBlank="1" containsNumber="1" containsInteger="1" minValue="37" maxValue="79446"/>
    </cacheField>
    <cacheField name="Price" numFmtId="0">
      <sharedItems containsSemiMixedTypes="0" containsString="0" containsNumber="1" minValue="0" maxValue="105"/>
    </cacheField>
    <cacheField name="Year" numFmtId="0">
      <sharedItems containsString="0" containsBlank="1" containsNumber="1" containsInteger="1" minValue="2009" maxValue="2019"/>
    </cacheField>
    <cacheField name="Genre" numFmtId="0">
      <sharedItems containsBlank="1"/>
    </cacheField>
    <cacheField name="Name+Author" numFmtId="0">
      <sharedItems containsBlank="1"/>
    </cacheField>
    <cacheField name="Rango de precio" numFmtId="0">
      <sharedItems containsBlank="1" count="4">
        <s v="Bajo"/>
        <s v="Alto"/>
        <s v="Medi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6">
  <r>
    <s v="10-Day Green Smoothie Cleanse"/>
    <s v="JJ Smith"/>
    <n v="4.7"/>
    <n v="17350"/>
    <n v="8"/>
    <n v="2016"/>
    <s v="Non Fiction"/>
    <s v="10-Day Green Smoothie Cleanse JJ Smith"/>
    <x v="0"/>
  </r>
  <r>
    <s v="11/22/63: A Novel"/>
    <s v="Stephen King"/>
    <n v="4.5999999999999996"/>
    <n v="2052"/>
    <n v="22"/>
    <n v="2011"/>
    <s v="Fiction"/>
    <s v="11/22/63: A Novel Stephen King"/>
    <x v="0"/>
  </r>
  <r>
    <s v="12 Rules for Life: An Antidote to Chaos"/>
    <s v="Jordan B. Peterson"/>
    <n v="4.7"/>
    <n v="18979"/>
    <n v="15"/>
    <n v="2018"/>
    <s v="Non Fiction"/>
    <s v="12 Rules for Life: An Antidote to Chaos Jordan B. Peterson"/>
    <x v="0"/>
  </r>
  <r>
    <s v="1984 (Signet Classics)"/>
    <s v="George Orwell"/>
    <n v="4.7"/>
    <n v="21424"/>
    <n v="6"/>
    <n v="2017"/>
    <s v="Fiction"/>
    <s v="1984 (Signet Classics) George Orwell"/>
    <x v="0"/>
  </r>
  <r>
    <s v="5,000 Awesome Facts (About Everything!) (National Geographic Kids)"/>
    <s v="National Geographic Kids"/>
    <n v="4.8"/>
    <n v="7665"/>
    <n v="12"/>
    <n v="2019"/>
    <s v="Non Fiction"/>
    <s v="5,000 Awesome Facts (About Everything!) (National Geographic Kids) National Geographic Kids"/>
    <x v="0"/>
  </r>
  <r>
    <s v="A Dance with Dragons (A Song of Ice and Fire)"/>
    <s v="George R. R. Martin"/>
    <n v="4.4000000000000004"/>
    <n v="12643"/>
    <n v="11"/>
    <n v="2011"/>
    <s v="Fiction"/>
    <s v="A Dance with Dragons (A Song of Ice and Fire) George R. R. Martin"/>
    <x v="0"/>
  </r>
  <r>
    <s v="A Game of Thrones / A Clash of Kings / A Storm of Swords / A Feast of Crows / A Dance with Dragons"/>
    <s v="George R. R. Martin"/>
    <n v="4.7"/>
    <n v="19735"/>
    <n v="30"/>
    <n v="2014"/>
    <s v="Fiction"/>
    <s v="A Game of Thrones / A Clash of Kings / A Storm of Swords / A Feast of Crows / A Dance with Dragons George R. R. Martin"/>
    <x v="0"/>
  </r>
  <r>
    <s v="A Gentleman in Moscow: A Novel"/>
    <s v="Amor Towles"/>
    <n v="4.7"/>
    <n v="19699"/>
    <n v="15"/>
    <n v="2017"/>
    <s v="Fiction"/>
    <s v="A Gentleman in Moscow: A Novel Amor Towles"/>
    <x v="0"/>
  </r>
  <r>
    <s v="A Higher Loyalty: Truth, Lies, and Leadership"/>
    <s v="James Comey"/>
    <n v="4.7"/>
    <n v="5983"/>
    <n v="3"/>
    <n v="2018"/>
    <s v="Non Fiction"/>
    <s v="A Higher Loyalty: Truth, Lies, and Leadership James Comey"/>
    <x v="0"/>
  </r>
  <r>
    <s v="A Man Called Ove: A Novel"/>
    <s v="Fredrik Backman"/>
    <n v="4.5999999999999996"/>
    <n v="23848"/>
    <n v="8"/>
    <n v="2016"/>
    <s v="Fiction"/>
    <s v="A Man Called Ove: A Novel Fredrik Backman"/>
    <x v="0"/>
  </r>
  <r>
    <s v="A Patriot's History of the United States: From Columbus's Great Discovery to the War on Terror"/>
    <s v="Larry Schweikart"/>
    <n v="4.5999999999999996"/>
    <n v="460"/>
    <n v="2"/>
    <n v="2010"/>
    <s v="Non Fiction"/>
    <s v="A Patriot's History of the United States: From Columbus's Great Discovery to the War on Terror Larry Schweikart"/>
    <x v="0"/>
  </r>
  <r>
    <s v="A Stolen Life: A Memoir"/>
    <s v="Jaycee Dugard"/>
    <n v="4.5999999999999996"/>
    <n v="4149"/>
    <n v="32"/>
    <n v="2011"/>
    <s v="Non Fiction"/>
    <s v="A Stolen Life: A Memoir Jaycee Dugard"/>
    <x v="0"/>
  </r>
  <r>
    <s v="A Wrinkle in Time (Time Quintet)"/>
    <s v="Madeleine L'Engle"/>
    <n v="4.5"/>
    <n v="5153"/>
    <n v="5"/>
    <n v="2018"/>
    <s v="Fiction"/>
    <s v="A Wrinkle in Time (Time Quintet) Madeleine L'Engle"/>
    <x v="0"/>
  </r>
  <r>
    <s v="Act Like a Lady, Think Like a Man: What Men Really Think About Love, Relationships, Intimacy, and Commitment"/>
    <s v="Steve Harvey"/>
    <n v="4.5999999999999996"/>
    <n v="5013"/>
    <n v="17"/>
    <n v="2009"/>
    <s v="Non Fiction"/>
    <s v="Act Like a Lady, Think Like a Man: What Men Really Think About Love, Relationships, Intimacy, and Commitment Steve Harvey"/>
    <x v="0"/>
  </r>
  <r>
    <s v="Adult Coloring Book Designs: Stress Relief Coloring Book: Garden Designs, Mandalas, Animals, and Paisley Patterns"/>
    <s v="Adult Coloring Book Designs"/>
    <n v="4.5"/>
    <n v="2313"/>
    <n v="4"/>
    <n v="2016"/>
    <s v="Non Fiction"/>
    <s v="Adult Coloring Book Designs: Stress Relief Coloring Book: Garden Designs, Mandalas, Animals, and Paisley Patterns Adult Coloring Book Designs"/>
    <x v="0"/>
  </r>
  <r>
    <s v="Adult Coloring Book: Stress Relieving Animal Designs"/>
    <s v="Blue Star Coloring"/>
    <n v="4.5999999999999996"/>
    <n v="2925"/>
    <n v="6"/>
    <n v="2015"/>
    <s v="Non Fiction"/>
    <s v="Adult Coloring Book: Stress Relieving Animal Designs Blue Star Coloring"/>
    <x v="0"/>
  </r>
  <r>
    <s v="Adult Coloring Book: Stress Relieving Patterns"/>
    <s v="Blue Star Coloring"/>
    <n v="4.4000000000000004"/>
    <n v="2951"/>
    <n v="6"/>
    <n v="2015"/>
    <s v="Non Fiction"/>
    <s v="Adult Coloring Book: Stress Relieving Patterns Blue Star Coloring"/>
    <x v="0"/>
  </r>
  <r>
    <s v="Adult Coloring Books: A Coloring Book for Adults Featuring Mandalas and Henna Inspired Flowers, Animals, and Paisley…"/>
    <s v="Coloring Books for Adults"/>
    <n v="4.5"/>
    <n v="2426"/>
    <n v="8"/>
    <n v="2015"/>
    <s v="Non Fiction"/>
    <s v="Adult Coloring Books: A Coloring Book for Adults Featuring Mandalas and Henna Inspired Flowers, Animals, and Paisley… Coloring Books for Adults"/>
    <x v="0"/>
  </r>
  <r>
    <s v="Alexander Hamilton"/>
    <s v="Ron Chernow"/>
    <n v="4.8"/>
    <n v="9198"/>
    <n v="13"/>
    <n v="2016"/>
    <s v="Non Fiction"/>
    <s v="Alexander Hamilton Ron Chernow"/>
    <x v="0"/>
  </r>
  <r>
    <s v="All the Light We Cannot See"/>
    <s v="Anthony Doerr"/>
    <n v="4.5999999999999996"/>
    <n v="36348"/>
    <n v="14"/>
    <n v="2014"/>
    <s v="Fiction"/>
    <s v="All the Light We Cannot See Anthony Doerr"/>
    <x v="0"/>
  </r>
  <r>
    <s v="Allegiant"/>
    <s v="Veronica Roth"/>
    <n v="3.9"/>
    <n v="6310"/>
    <n v="13"/>
    <n v="2013"/>
    <s v="Fiction"/>
    <s v="Allegiant Veronica Roth"/>
    <x v="0"/>
  </r>
  <r>
    <s v="American Sniper: The Autobiography of the Most Lethal Sniper in U.S. Military History"/>
    <s v="Chris Kyle"/>
    <n v="4.5999999999999996"/>
    <n v="15921"/>
    <n v="9"/>
    <n v="2015"/>
    <s v="Non Fiction"/>
    <s v="American Sniper: The Autobiography of the Most Lethal Sniper in U.S. Military History Chris Kyle"/>
    <x v="0"/>
  </r>
  <r>
    <s v="And the Mountains Echoed"/>
    <s v="Khaled Hosseini"/>
    <n v="4.3"/>
    <n v="12159"/>
    <n v="13"/>
    <n v="2013"/>
    <s v="Fiction"/>
    <s v="And the Mountains Echoed Khaled Hosseini"/>
    <x v="0"/>
  </r>
  <r>
    <s v="Arguing with Idiots: How to Stop Small Minds and Big Government"/>
    <s v="Glenn Beck"/>
    <n v="4.5999999999999996"/>
    <n v="798"/>
    <n v="5"/>
    <n v="2009"/>
    <s v="Non Fiction"/>
    <s v="Arguing with Idiots: How to Stop Small Minds and Big Government Glenn Beck"/>
    <x v="0"/>
  </r>
  <r>
    <s v="Astrophysics for People in a Hurry"/>
    <s v="Neil deGrasse Tyson"/>
    <n v="4.7"/>
    <n v="9374"/>
    <n v="9"/>
    <n v="2017"/>
    <s v="Non Fiction"/>
    <s v="Astrophysics for People in a Hurry Neil deGrasse Tyson"/>
    <x v="0"/>
  </r>
  <r>
    <s v="Autobiography of Mark Twain, Vol. 1"/>
    <s v="Mark Twain"/>
    <n v="4.2"/>
    <n v="491"/>
    <n v="14"/>
    <n v="2010"/>
    <s v="Non Fiction"/>
    <s v="Autobiography of Mark Twain, Vol. 1 Mark Twain"/>
    <x v="0"/>
  </r>
  <r>
    <s v="Baby Touch and Feel: Animals"/>
    <s v="DK"/>
    <n v="4.5999999999999996"/>
    <n v="5360"/>
    <n v="5"/>
    <n v="2015"/>
    <s v="Non Fiction"/>
    <s v="Baby Touch and Feel: Animals DK"/>
    <x v="0"/>
  </r>
  <r>
    <s v="Balance (Angie's Extreme Stress Menders)"/>
    <s v="Angie Grace"/>
    <n v="4.5999999999999996"/>
    <n v="1909"/>
    <n v="11"/>
    <n v="2015"/>
    <s v="Non Fiction"/>
    <s v="Balance (Angie's Extreme Stress Menders) Angie Grace"/>
    <x v="0"/>
  </r>
  <r>
    <s v="Barefoot Contessa Foolproof: Recipes You Can Trust: A Cookbook"/>
    <s v="Ina Garten"/>
    <n v="4.8"/>
    <n v="1296"/>
    <n v="24"/>
    <n v="2012"/>
    <s v="Non Fiction"/>
    <s v="Barefoot Contessa Foolproof: Recipes You Can Trust: A Cookbook Ina Garten"/>
    <x v="0"/>
  </r>
  <r>
    <s v="Barefoot Contessa, How Easy Is That?: Fabulous Recipes &amp; Easy Tips"/>
    <s v="Ina Garten"/>
    <n v="4.7"/>
    <n v="615"/>
    <n v="21"/>
    <n v="2010"/>
    <s v="Non Fiction"/>
    <s v="Barefoot Contessa, How Easy Is That?: Fabulous Recipes &amp; Easy Tips Ina Garten"/>
    <x v="0"/>
  </r>
  <r>
    <s v="Becoming"/>
    <s v="Michelle Obama"/>
    <n v="4.8"/>
    <n v="61133"/>
    <n v="11"/>
    <n v="2018"/>
    <s v="Non Fiction"/>
    <s v="Becoming Michelle Obama"/>
    <x v="0"/>
  </r>
  <r>
    <s v="Being Mortal: Medicine and What Matters in the End"/>
    <s v="Atul Gawande"/>
    <n v="4.8"/>
    <n v="11113"/>
    <n v="15"/>
    <n v="2015"/>
    <s v="Non Fiction"/>
    <s v="Being Mortal: Medicine and What Matters in the End Atul Gawande"/>
    <x v="0"/>
  </r>
  <r>
    <s v="Between the World and Me"/>
    <s v="Ta-Nehisi Coates"/>
    <n v="4.7"/>
    <n v="10070"/>
    <n v="13"/>
    <n v="2015"/>
    <s v="Non Fiction"/>
    <s v="Between the World and Me Ta-Nehisi Coates"/>
    <x v="0"/>
  </r>
  <r>
    <s v="Born to Run"/>
    <s v="Bruce Springsteen"/>
    <n v="4.7"/>
    <n v="3729"/>
    <n v="18"/>
    <n v="2016"/>
    <s v="Non Fiction"/>
    <s v="Born to Run Bruce Springsteen"/>
    <x v="0"/>
  </r>
  <r>
    <s v="Breaking Dawn (The Twilight Saga, Book 4)"/>
    <s v="Stephenie Meyer"/>
    <n v="4.5999999999999996"/>
    <n v="9769"/>
    <n v="13"/>
    <n v="2009"/>
    <s v="Fiction"/>
    <s v="Breaking Dawn (The Twilight Saga, Book 4) Stephenie Meyer"/>
    <x v="0"/>
  </r>
  <r>
    <s v="Broke: The Plan to Restore Our Trust, Truth and Treasure"/>
    <s v="Glenn Beck"/>
    <n v="4.5"/>
    <n v="471"/>
    <n v="8"/>
    <n v="2010"/>
    <s v="Non Fiction"/>
    <s v="Broke: The Plan to Restore Our Trust, Truth and Treasure Glenn Beck"/>
    <x v="0"/>
  </r>
  <r>
    <s v="Brown Bear, Brown Bear, What Do You See?"/>
    <s v="Bill Martin Jr."/>
    <n v="4.9000000000000004"/>
    <n v="14344"/>
    <n v="5"/>
    <n v="2017"/>
    <s v="Fiction"/>
    <s v="Brown Bear, Brown Bear, What Do You See? Bill Martin Jr."/>
    <x v="0"/>
  </r>
  <r>
    <s v="Cabin Fever (Diary of a Wimpy Kid, Book 6)"/>
    <s v="Jeff Kinney"/>
    <n v="4.8"/>
    <n v="4505"/>
    <n v="0"/>
    <n v="2011"/>
    <s v="Fiction"/>
    <s v="Cabin Fever (Diary of a Wimpy Kid, Book 6) Jeff Kinney"/>
    <x v="0"/>
  </r>
  <r>
    <s v="Calm the F*ck Down: An Irreverent Adult Coloring Book (Irreverent Book Series)"/>
    <s v="Sasha O'Hara"/>
    <n v="4.5999999999999996"/>
    <n v="10369"/>
    <n v="4"/>
    <n v="2016"/>
    <s v="Non Fiction"/>
    <s v="Calm the F*ck Down: An Irreverent Adult Coloring Book (Irreverent Book Series) Sasha O'Hara"/>
    <x v="0"/>
  </r>
  <r>
    <s v="Can't Hurt Me: Master Your Mind and Defy the Odds"/>
    <s v="David Goggins"/>
    <n v="4.8"/>
    <n v="16244"/>
    <n v="18"/>
    <n v="2019"/>
    <s v="Non Fiction"/>
    <s v="Can't Hurt Me: Master Your Mind and Defy the Odds David Goggins"/>
    <x v="0"/>
  </r>
  <r>
    <s v="Capital in the Twenty First Century"/>
    <s v="Thomas Piketty"/>
    <n v="4.5"/>
    <n v="2884"/>
    <n v="28"/>
    <n v="2014"/>
    <s v="Non Fiction"/>
    <s v="Capital in the Twenty First Century Thomas Piketty"/>
    <x v="0"/>
  </r>
  <r>
    <s v="Catching Fire (The Hunger Games)"/>
    <s v="Suzanne Collins"/>
    <n v="4.7"/>
    <n v="22614"/>
    <n v="11"/>
    <n v="2010"/>
    <s v="Fiction"/>
    <s v="Catching Fire (The Hunger Games) Suzanne Collins"/>
    <x v="0"/>
  </r>
  <r>
    <s v="Cravings: Recipes for All the Food You Want to Eat: A Cookbook"/>
    <s v="Chrissy Teigen"/>
    <n v="4.7"/>
    <n v="4761"/>
    <n v="16"/>
    <n v="2016"/>
    <s v="Non Fiction"/>
    <s v="Cravings: Recipes for All the Food You Want to Eat: A Cookbook Chrissy Teigen"/>
    <x v="0"/>
  </r>
  <r>
    <s v="Crazy Love: Overwhelmed by a Relentless God"/>
    <s v="Francis Chan"/>
    <n v="4.7"/>
    <n v="1542"/>
    <n v="14"/>
    <n v="2009"/>
    <s v="Non Fiction"/>
    <s v="Crazy Love: Overwhelmed by a Relentless God Francis Chan"/>
    <x v="0"/>
  </r>
  <r>
    <s v="Crazy Rich Asians (Crazy Rich Asians Trilogy)"/>
    <s v="Kevin Kwan"/>
    <n v="4.3"/>
    <n v="6143"/>
    <n v="8"/>
    <n v="2018"/>
    <s v="Fiction"/>
    <s v="Crazy Rich Asians (Crazy Rich Asians Trilogy) Kevin Kwan"/>
    <x v="0"/>
  </r>
  <r>
    <s v="Creative Haven Creative Cats Coloring Book (Adult Coloring)"/>
    <s v="Marjorie Sarnat"/>
    <n v="4.8"/>
    <n v="4022"/>
    <n v="4"/>
    <n v="2015"/>
    <s v="Non Fiction"/>
    <s v="Creative Haven Creative Cats Coloring Book (Adult Coloring) Marjorie Sarnat"/>
    <x v="0"/>
  </r>
  <r>
    <s v="Creative Haven Owls Coloring Book (Adult Coloring)"/>
    <s v="Marjorie Sarnat"/>
    <n v="4.8"/>
    <n v="3871"/>
    <n v="5"/>
    <n v="2015"/>
    <s v="Non Fiction"/>
    <s v="Creative Haven Owls Coloring Book (Adult Coloring) Marjorie Sarnat"/>
    <x v="0"/>
  </r>
  <r>
    <s v="Cutting for Stone"/>
    <s v="Abraham Verghese"/>
    <n v="4.5999999999999996"/>
    <n v="4866"/>
    <n v="11"/>
    <n v="2010"/>
    <s v="Fiction"/>
    <s v="Cutting for Stone Abraham Verghese"/>
    <x v="0"/>
  </r>
  <r>
    <s v="Daring Greatly: How the Courage to Be Vulnerable Transforms the Way We Live, Love, Parent, and Lead"/>
    <s v="Brené Brown"/>
    <n v="4.8"/>
    <n v="1329"/>
    <n v="10"/>
    <n v="2013"/>
    <s v="Non Fiction"/>
    <s v="Daring Greatly: How the Courage to Be Vulnerable Transforms the Way We Live, Love, Parent, and Lead Brené Brown"/>
    <x v="0"/>
  </r>
  <r>
    <s v="David and Goliath: Underdogs, Misfits, and the Art of Battling Giants"/>
    <s v="Malcolm Gladwell"/>
    <n v="4.4000000000000004"/>
    <n v="4642"/>
    <n v="13"/>
    <n v="2013"/>
    <s v="Non Fiction"/>
    <s v="David and Goliath: Underdogs, Misfits, and the Art of Battling Giants Malcolm Gladwell"/>
    <x v="0"/>
  </r>
  <r>
    <s v="Dead And Gone: A Sookie Stackhouse Novel (Sookie Stackhouse/True Blood)"/>
    <s v="Charlaine Harris"/>
    <n v="4.5999999999999996"/>
    <n v="1541"/>
    <n v="4"/>
    <n v="2009"/>
    <s v="Fiction"/>
    <s v="Dead And Gone: A Sookie Stackhouse Novel (Sookie Stackhouse/True Blood) Charlaine Harris"/>
    <x v="0"/>
  </r>
  <r>
    <s v="Dead in the Family (Sookie Stackhouse/True Blood, Book 10)"/>
    <s v="Charlaine Harris"/>
    <n v="4.3"/>
    <n v="1924"/>
    <n v="8"/>
    <n v="2010"/>
    <s v="Fiction"/>
    <s v="Dead in the Family (Sookie Stackhouse/True Blood, Book 10) Charlaine Harris"/>
    <x v="0"/>
  </r>
  <r>
    <s v="Dead Reckoning (Sookie Stackhouse/True Blood, Book 11)"/>
    <s v="Charlaine Harris"/>
    <n v="4.2"/>
    <n v="2094"/>
    <n v="4"/>
    <n v="2011"/>
    <s v="Fiction"/>
    <s v="Dead Reckoning (Sookie Stackhouse/True Blood, Book 11) Charlaine Harris"/>
    <x v="0"/>
  </r>
  <r>
    <s v="Dear Zoo: A Lift-the-Flap Book"/>
    <s v="Rod Campbell"/>
    <n v="4.8"/>
    <n v="10922"/>
    <n v="5"/>
    <n v="2015"/>
    <s v="Fiction"/>
    <s v="Dear Zoo: A Lift-the-Flap Book Rod Campbell"/>
    <x v="0"/>
  </r>
  <r>
    <s v="Decision Points"/>
    <s v="George W. Bush"/>
    <n v="4.5999999999999996"/>
    <n v="2137"/>
    <n v="17"/>
    <n v="2010"/>
    <s v="Non Fiction"/>
    <s v="Decision Points George W. Bush"/>
    <x v="0"/>
  </r>
  <r>
    <s v="Delivering Happiness: A Path to Profits, Passion, and Purpose"/>
    <s v="Tony Hsieh"/>
    <n v="4.5999999999999996"/>
    <n v="1651"/>
    <n v="15"/>
    <n v="2010"/>
    <s v="Non Fiction"/>
    <s v="Delivering Happiness: A Path to Profits, Passion, and Purpose Tony Hsieh"/>
    <x v="0"/>
  </r>
  <r>
    <s v="Diagnostic and Statistical Manual of Mental Disorders, 5th Edition: DSM-5"/>
    <s v="American Psychiatric Association"/>
    <n v="4.5"/>
    <n v="6679"/>
    <n v="105"/>
    <n v="2013"/>
    <s v="Non Fiction"/>
    <s v="Diagnostic and Statistical Manual of Mental Disorders, 5th Edition: DSM-5 American Psychiatric Association"/>
    <x v="1"/>
  </r>
  <r>
    <s v="Diary of a Wimpy Kid: Hard Luck, Book 8"/>
    <s v="Jeff Kinney"/>
    <n v="4.8"/>
    <n v="6812"/>
    <n v="0"/>
    <n v="2013"/>
    <s v="Fiction"/>
    <s v="Diary of a Wimpy Kid: Hard Luck, Book 8 Jeff Kinney"/>
    <x v="0"/>
  </r>
  <r>
    <s v="Diary of a Wimpy Kid: The Last Straw (Book 3)"/>
    <s v="Jeff Kinney"/>
    <n v="4.8"/>
    <n v="3837"/>
    <n v="15"/>
    <n v="2009"/>
    <s v="Fiction"/>
    <s v="Diary of a Wimpy Kid: The Last Straw (Book 3) Jeff Kinney"/>
    <x v="0"/>
  </r>
  <r>
    <s v="Diary of a Wimpy Kid: The Long Haul"/>
    <s v="Jeff Kinney"/>
    <n v="4.8"/>
    <n v="6540"/>
    <n v="22"/>
    <n v="2014"/>
    <s v="Fiction"/>
    <s v="Diary of a Wimpy Kid: The Long Haul Jeff Kinney"/>
    <x v="0"/>
  </r>
  <r>
    <s v="Difficult Riddles For Smart Kids: 300 Difficult Riddles And Brain Teasers Families Will Love (Books for Smart Kids)"/>
    <s v="M Prefontaine"/>
    <n v="4.5999999999999996"/>
    <n v="7955"/>
    <n v="5"/>
    <n v="2019"/>
    <s v="Non Fiction"/>
    <s v="Difficult Riddles For Smart Kids: 300 Difficult Riddles And Brain Teasers Families Will Love (Books for Smart Kids) M Prefontaine"/>
    <x v="0"/>
  </r>
  <r>
    <s v="Divergent"/>
    <s v="Veronica Roth"/>
    <n v="4.5999999999999996"/>
    <n v="27098"/>
    <n v="15"/>
    <n v="2013"/>
    <s v="Fiction"/>
    <s v="Divergent Veronica Roth"/>
    <x v="0"/>
  </r>
  <r>
    <s v="Divergent / Insurgent"/>
    <s v="Veronica Roth"/>
    <n v="4.5"/>
    <n v="17684"/>
    <n v="6"/>
    <n v="2014"/>
    <s v="Fiction"/>
    <s v="Divergent / Insurgent Veronica Roth"/>
    <x v="0"/>
  </r>
  <r>
    <s v="Divine Soul Mind Body Healing and Transmission System: The Divine Way to Heal You, Humanity, Mother Earth, and All…"/>
    <s v="Zhi Gang Sha"/>
    <n v="4.5999999999999996"/>
    <n v="37"/>
    <n v="6"/>
    <n v="2009"/>
    <s v="Non Fiction"/>
    <s v="Divine Soul Mind Body Healing and Transmission System: The Divine Way to Heal You, Humanity, Mother Earth, and All… Zhi Gang Sha"/>
    <x v="0"/>
  </r>
  <r>
    <s v="Doctor Sleep: A Novel"/>
    <s v="Stephen King"/>
    <n v="4.7"/>
    <n v="15845"/>
    <n v="13"/>
    <n v="2013"/>
    <s v="Fiction"/>
    <s v="Doctor Sleep: A Novel Stephen King"/>
    <x v="0"/>
  </r>
  <r>
    <s v="Dog Days (Diary of a Wimpy Kid, Book 4) (Volume 4)"/>
    <s v="Jeff Kinney"/>
    <n v="4.8"/>
    <n v="3181"/>
    <n v="12"/>
    <n v="2009"/>
    <s v="Fiction"/>
    <s v="Dog Days (Diary of a Wimpy Kid, Book 4) (Volume 4) Jeff Kinney"/>
    <x v="0"/>
  </r>
  <r>
    <s v="Dog Man and Cat Kid: From the Creator of Captain Underpants (Dog Man #4)"/>
    <s v="Dav Pilkey"/>
    <n v="4.9000000000000004"/>
    <n v="5062"/>
    <n v="6"/>
    <n v="2018"/>
    <s v="Fiction"/>
    <s v="Dog Man and Cat Kid: From the Creator of Captain Underpants (Dog Man #4) Dav Pilkey"/>
    <x v="0"/>
  </r>
  <r>
    <s v="Dog Man: A Tale of Two Kitties: From the Creator of Captain Underpants (Dog Man #3)"/>
    <s v="Dav Pilkey"/>
    <n v="4.9000000000000004"/>
    <n v="4786"/>
    <n v="8"/>
    <n v="2017"/>
    <s v="Fiction"/>
    <s v="Dog Man: A Tale of Two Kitties: From the Creator of Captain Underpants (Dog Man #3) Dav Pilkey"/>
    <x v="0"/>
  </r>
  <r>
    <s v="Dog Man: Brawl of the Wild: From the Creator of Captain Underpants (Dog Man #6)"/>
    <s v="Dav Pilkey"/>
    <n v="4.9000000000000004"/>
    <n v="7235"/>
    <n v="4"/>
    <n v="2018"/>
    <s v="Fiction"/>
    <s v="Dog Man: Brawl of the Wild: From the Creator of Captain Underpants (Dog Man #6) Dav Pilkey"/>
    <x v="0"/>
  </r>
  <r>
    <s v="Dog Man: Fetch-22: From the Creator of Captain Underpants (Dog Man #8)"/>
    <s v="Dav Pilkey"/>
    <n v="4.9000000000000004"/>
    <n v="12619"/>
    <n v="8"/>
    <n v="2019"/>
    <s v="Fiction"/>
    <s v="Dog Man: Fetch-22: From the Creator of Captain Underpants (Dog Man #8) Dav Pilkey"/>
    <x v="0"/>
  </r>
  <r>
    <s v="Dog Man: For Whom the Ball Rolls: From the Creator of Captain Underpants (Dog Man #7)"/>
    <s v="Dav Pilkey"/>
    <n v="4.9000000000000004"/>
    <n v="9089"/>
    <n v="8"/>
    <n v="2019"/>
    <s v="Fiction"/>
    <s v="Dog Man: For Whom the Ball Rolls: From the Creator of Captain Underpants (Dog Man #7) Dav Pilkey"/>
    <x v="0"/>
  </r>
  <r>
    <s v="Dog Man: Lord of the Fleas: From the Creator of Captain Underpants (Dog Man #5)"/>
    <s v="Dav Pilkey"/>
    <n v="4.9000000000000004"/>
    <n v="5470"/>
    <n v="6"/>
    <n v="2018"/>
    <s v="Fiction"/>
    <s v="Dog Man: Lord of the Fleas: From the Creator of Captain Underpants (Dog Man #5) Dav Pilkey"/>
    <x v="0"/>
  </r>
  <r>
    <s v="Double Down (Diary of a Wimpy Kid #11)"/>
    <s v="Jeff Kinney"/>
    <n v="4.8"/>
    <n v="5118"/>
    <n v="20"/>
    <n v="2016"/>
    <s v="Fiction"/>
    <s v="Double Down (Diary of a Wimpy Kid #11) Jeff Kinney"/>
    <x v="0"/>
  </r>
  <r>
    <s v="Dover Creative Haven Art Nouveau Animal Designs Coloring Book (Creative Haven Coloring Books)"/>
    <s v="Marty Noble"/>
    <n v="4.5999999999999996"/>
    <n v="2134"/>
    <n v="5"/>
    <n v="2015"/>
    <s v="Non Fiction"/>
    <s v="Dover Creative Haven Art Nouveau Animal Designs Coloring Book (Creative Haven Coloring Books) Marty Noble"/>
    <x v="0"/>
  </r>
  <r>
    <s v="Drive: The Surprising Truth About What Motivates Us"/>
    <s v="Daniel H. Pink"/>
    <n v="4.5"/>
    <n v="2525"/>
    <n v="16"/>
    <n v="2010"/>
    <s v="Non Fiction"/>
    <s v="Drive: The Surprising Truth About What Motivates Us Daniel H. Pink"/>
    <x v="0"/>
  </r>
  <r>
    <s v="Eat This Not That! Supermarket Survival Guide: The No-Diet Weight Loss Solution"/>
    <s v="David Zinczenko"/>
    <n v="4.5"/>
    <n v="720"/>
    <n v="1"/>
    <n v="2009"/>
    <s v="Non Fiction"/>
    <s v="Eat This Not That! Supermarket Survival Guide: The No-Diet Weight Loss Solution David Zinczenko"/>
    <x v="0"/>
  </r>
  <r>
    <s v="Eat This, Not That! Thousands of Simple Food Swaps that Can Save You 10, 20, 30 Pounds--or More!"/>
    <s v="David Zinczenko"/>
    <n v="4.3"/>
    <n v="956"/>
    <n v="14"/>
    <n v="2009"/>
    <s v="Non Fiction"/>
    <s v="Eat This, Not That! Thousands of Simple Food Swaps that Can Save You 10, 20, 30 Pounds--or More! David Zinczenko"/>
    <x v="0"/>
  </r>
  <r>
    <s v="Eat to Live: The Amazing Nutrient-Rich Program for Fast and Sustained Weight Loss, Revised Edition"/>
    <s v="Joel Fuhrman MD"/>
    <n v="4.5"/>
    <n v="6346"/>
    <n v="9"/>
    <n v="2011"/>
    <s v="Non Fiction"/>
    <s v="Eat to Live: The Amazing Nutrient-Rich Program for Fast and Sustained Weight Loss, Revised Edition Joel Fuhrman MD"/>
    <x v="0"/>
  </r>
  <r>
    <s v="Eclipse (Twilight Sagas)"/>
    <s v="Stephenie Meyer"/>
    <n v="4.7"/>
    <n v="5505"/>
    <n v="7"/>
    <n v="2009"/>
    <s v="Fiction"/>
    <s v="Eclipse (Twilight Sagas) Stephenie Meyer"/>
    <x v="0"/>
  </r>
  <r>
    <s v="Eclipse (Twilight)"/>
    <s v="Stephenie Meyer"/>
    <n v="4.7"/>
    <n v="5505"/>
    <n v="18"/>
    <n v="2009"/>
    <s v="Fiction"/>
    <s v="Eclipse (Twilight) Stephenie Meyer"/>
    <x v="0"/>
  </r>
  <r>
    <s v="Educated: A Memoir"/>
    <s v="Tara Westover"/>
    <n v="4.7"/>
    <n v="28729"/>
    <n v="15"/>
    <n v="2018"/>
    <s v="Non Fiction"/>
    <s v="Educated: A Memoir Tara Westover"/>
    <x v="0"/>
  </r>
  <r>
    <s v="Enchanted Forest: An Inky Quest and Coloring book (Activity Books, Mindfulness and Meditation, Illustrated Floral Prints…"/>
    <s v="Johanna Basford"/>
    <n v="4.7"/>
    <n v="5413"/>
    <n v="9"/>
    <n v="2015"/>
    <s v="Non Fiction"/>
    <s v="Enchanted Forest: An Inky Quest and Coloring book (Activity Books, Mindfulness and Meditation, Illustrated Floral Prints… Johanna Basford"/>
    <x v="0"/>
  </r>
  <r>
    <s v="Fahrenheit 451"/>
    <s v="Ray Bradbury"/>
    <n v="4.5999999999999996"/>
    <n v="10721"/>
    <n v="8"/>
    <n v="2016"/>
    <s v="Fiction"/>
    <s v="Fahrenheit 451 Ray Bradbury"/>
    <x v="0"/>
  </r>
  <r>
    <s v="Fantastic Beasts and Where to Find Them: The Original Screenplay (Harry Potter)"/>
    <s v="J.K. Rowling"/>
    <n v="4.7"/>
    <n v="4370"/>
    <n v="15"/>
    <n v="2016"/>
    <s v="Fiction"/>
    <s v="Fantastic Beasts and Where to Find Them: The Original Screenplay (Harry Potter) J.K. Rowling"/>
    <x v="0"/>
  </r>
  <r>
    <s v="Fear: Trump in the White House"/>
    <s v="Bob Woodward"/>
    <n v="4.4000000000000004"/>
    <n v="6042"/>
    <n v="2"/>
    <n v="2018"/>
    <s v="Non Fiction"/>
    <s v="Fear: Trump in the White House Bob Woodward"/>
    <x v="0"/>
  </r>
  <r>
    <s v="Fifty Shades Darker"/>
    <s v="E L James"/>
    <n v="4.4000000000000004"/>
    <n v="23631"/>
    <n v="7"/>
    <n v="2012"/>
    <s v="Fiction"/>
    <s v="Fifty Shades Darker E L James"/>
    <x v="0"/>
  </r>
  <r>
    <s v="Fifty Shades Freed: Book Three of the Fifty Shades Trilogy (Fifty Shades of Grey Series) (English Edition)"/>
    <s v="E L James"/>
    <n v="4.5"/>
    <n v="20262"/>
    <n v="11"/>
    <n v="2012"/>
    <s v="Fiction"/>
    <s v="Fifty Shades Freed: Book Three of the Fifty Shades Trilogy (Fifty Shades of Grey Series) (English Edition) E L James"/>
    <x v="0"/>
  </r>
  <r>
    <s v="Fifty Shades of Grey: Book One of the Fifty Shades Trilogy (Fifty Shades of Grey Series)"/>
    <s v="E L James"/>
    <n v="3.8"/>
    <n v="47265"/>
    <n v="14"/>
    <n v="2012"/>
    <s v="Fiction"/>
    <s v="Fifty Shades of Grey: Book One of the Fifty Shades Trilogy (Fifty Shades of Grey Series) E L James"/>
    <x v="0"/>
  </r>
  <r>
    <s v="Fifty Shades Trilogy (Fifty Shades of Grey / Fifty Shades Darker / Fifty Shades Freed)"/>
    <s v="E L James"/>
    <n v="4.5"/>
    <n v="13964"/>
    <n v="32"/>
    <n v="2012"/>
    <s v="Fiction"/>
    <s v="Fifty Shades Trilogy (Fifty Shades of Grey / Fifty Shades Darker / Fifty Shades Freed) E L James"/>
    <x v="0"/>
  </r>
  <r>
    <s v="Fire and Fury: Inside the Trump White House"/>
    <s v="Michael Wolff"/>
    <n v="4.2"/>
    <n v="13677"/>
    <n v="6"/>
    <n v="2018"/>
    <s v="Non Fiction"/>
    <s v="Fire and Fury: Inside the Trump White House Michael Wolff"/>
    <x v="0"/>
  </r>
  <r>
    <s v="First 100 Words"/>
    <s v="Roger Priddy"/>
    <n v="4.7"/>
    <n v="17323"/>
    <n v="4"/>
    <n v="2014"/>
    <s v="Non Fiction"/>
    <s v="First 100 Words Roger Priddy"/>
    <x v="0"/>
  </r>
  <r>
    <s v="Food Rules: An Eater's Manual"/>
    <s v="Michael Pollan"/>
    <n v="4.4000000000000004"/>
    <n v="1555"/>
    <n v="9"/>
    <n v="2010"/>
    <s v="Non Fiction"/>
    <s v="Food Rules: An Eater's Manual Michael Pollan"/>
    <x v="0"/>
  </r>
  <r>
    <s v="Frozen (Little Golden Book)"/>
    <s v="RH Disney"/>
    <n v="4.7"/>
    <n v="3642"/>
    <n v="0"/>
    <n v="2014"/>
    <s v="Fiction"/>
    <s v="Frozen (Little Golden Book) RH Disney"/>
    <x v="0"/>
  </r>
  <r>
    <s v="Game Change: Obama and the Clintons, McCain and Palin, and the Race of a Lifetime"/>
    <s v="John Heilemann"/>
    <n v="4.4000000000000004"/>
    <n v="1215"/>
    <n v="9"/>
    <n v="2010"/>
    <s v="Non Fiction"/>
    <s v="Game Change: Obama and the Clintons, McCain and Palin, and the Race of a Lifetime John Heilemann"/>
    <x v="0"/>
  </r>
  <r>
    <s v="Game of Thrones Boxed Set: A Game of Thrones/A Clash of Kings/A Storm of Swords/A Feast for Crows"/>
    <s v="George R.R. Martin"/>
    <n v="4.5999999999999996"/>
    <n v="5594"/>
    <n v="5"/>
    <n v="2011"/>
    <s v="Fiction"/>
    <s v="Game of Thrones Boxed Set: A Game of Thrones/A Clash of Kings/A Storm of Swords/A Feast for Crows George R.R. Martin"/>
    <x v="0"/>
  </r>
  <r>
    <s v="George Washington's Sacred Fire"/>
    <s v="Peter A. Lillback"/>
    <n v="4.5"/>
    <n v="408"/>
    <n v="20"/>
    <n v="2010"/>
    <s v="Non Fiction"/>
    <s v="George Washington's Sacred Fire Peter A. Lillback"/>
    <x v="0"/>
  </r>
  <r>
    <s v="George Washington's Secret Six: The Spy Ring That Saved the American Revolution"/>
    <s v="Brian Kilmeade"/>
    <n v="4.5999999999999996"/>
    <n v="4799"/>
    <n v="16"/>
    <n v="2013"/>
    <s v="Non Fiction"/>
    <s v="George Washington's Secret Six: The Spy Ring That Saved the American Revolution Brian Kilmeade"/>
    <x v="0"/>
  </r>
  <r>
    <s v="Giraffes Can't Dance"/>
    <s v="Giles Andreae"/>
    <n v="4.8"/>
    <n v="14038"/>
    <n v="4"/>
    <n v="2015"/>
    <s v="Fiction"/>
    <s v="Giraffes Can't Dance Giles Andreae"/>
    <x v="0"/>
  </r>
  <r>
    <s v="Girl, Stop Apologizing: A Shame-Free Plan for Embracing and Achieving Your Goals"/>
    <s v="Rachel Hollis"/>
    <n v="4.5999999999999996"/>
    <n v="7660"/>
    <n v="12"/>
    <n v="2019"/>
    <s v="Non Fiction"/>
    <s v="Girl, Stop Apologizing: A Shame-Free Plan for Embracing and Achieving Your Goals Rachel Hollis"/>
    <x v="0"/>
  </r>
  <r>
    <s v="Girl, Wash Your Face: Stop Believing the Lies About Who You Are So You Can Become Who You Were Meant to Be"/>
    <s v="Rachel Hollis"/>
    <n v="4.5999999999999996"/>
    <n v="22288"/>
    <n v="12"/>
    <n v="2018"/>
    <s v="Non Fiction"/>
    <s v="Girl, Wash Your Face: Stop Believing the Lies About Who You Are So You Can Become Who You Were Meant to Be Rachel Hollis"/>
    <x v="0"/>
  </r>
  <r>
    <s v="Glenn Beck's Common Sense: The Case Against an Out-of-Control Government, Inspired by Thomas Paine"/>
    <s v="Glenn Beck"/>
    <n v="4.5999999999999996"/>
    <n v="1365"/>
    <n v="11"/>
    <n v="2009"/>
    <s v="Non Fiction"/>
    <s v="Glenn Beck's Common Sense: The Case Against an Out-of-Control Government, Inspired by Thomas Paine Glenn Beck"/>
    <x v="0"/>
  </r>
  <r>
    <s v="Go Set a Watchman: A Novel"/>
    <s v="Harper Lee"/>
    <n v="3.6"/>
    <n v="14982"/>
    <n v="19"/>
    <n v="2015"/>
    <s v="Fiction"/>
    <s v="Go Set a Watchman: A Novel Harper Lee"/>
    <x v="0"/>
  </r>
  <r>
    <s v="Go the F**k to Sleep"/>
    <s v="Adam Mansbach"/>
    <n v="4.8"/>
    <n v="9568"/>
    <n v="9"/>
    <n v="2011"/>
    <s v="Fiction"/>
    <s v="Go the F**k to Sleep Adam Mansbach"/>
    <x v="0"/>
  </r>
  <r>
    <s v="Going Rogue: An American Life"/>
    <s v="Sarah Palin"/>
    <n v="4.5999999999999996"/>
    <n v="1636"/>
    <n v="6"/>
    <n v="2009"/>
    <s v="Non Fiction"/>
    <s v="Going Rogue: An American Life Sarah Palin"/>
    <x v="0"/>
  </r>
  <r>
    <s v="Gone Girl"/>
    <s v="Gillian Flynn"/>
    <n v="4"/>
    <n v="57271"/>
    <n v="10"/>
    <n v="2012"/>
    <s v="Fiction"/>
    <s v="Gone Girl Gillian Flynn"/>
    <x v="0"/>
  </r>
  <r>
    <s v="Good Days Start With Gratitude: A 52 Week Guide To Cultivate An Attitude Of Gratitude: Gratitude Journal"/>
    <s v="Pretty Simple Press"/>
    <n v="4.5999999999999996"/>
    <n v="10141"/>
    <n v="6"/>
    <n v="2019"/>
    <s v="Non Fiction"/>
    <s v="Good Days Start With Gratitude: A 52 Week Guide To Cultivate An Attitude Of Gratitude: Gratitude Journal Pretty Simple Press"/>
    <x v="0"/>
  </r>
  <r>
    <s v="Good to Great: Why Some Companies Make the Leap and Others Don't"/>
    <s v="Jim Collins"/>
    <n v="4.5"/>
    <n v="3457"/>
    <n v="14"/>
    <n v="2009"/>
    <s v="Non Fiction"/>
    <s v="Good to Great: Why Some Companies Make the Leap and Others Don't Jim Collins"/>
    <x v="0"/>
  </r>
  <r>
    <s v="Goodnight Moon"/>
    <s v="Margaret Wise Brown"/>
    <n v="4.8"/>
    <n v="8837"/>
    <n v="5"/>
    <n v="2017"/>
    <s v="Fiction"/>
    <s v="Goodnight Moon Margaret Wise Brown"/>
    <x v="0"/>
  </r>
  <r>
    <s v="Goodnight, Goodnight Construction Site (Hardcover Books for Toddlers, Preschool Books for Kids)"/>
    <s v="Sherri Duskey Rinker"/>
    <n v="4.9000000000000004"/>
    <n v="7038"/>
    <n v="7"/>
    <n v="2012"/>
    <s v="Fiction"/>
    <s v="Goodnight, Goodnight Construction Site (Hardcover Books for Toddlers, Preschool Books for Kids) Sherri Duskey Rinker"/>
    <x v="0"/>
  </r>
  <r>
    <s v="Grain Brain: The Surprising Truth about Wheat, Carbs, and Sugar--Your Brain's Silent Killers"/>
    <s v="David Perlmutter MD"/>
    <n v="4.5999999999999996"/>
    <n v="5972"/>
    <n v="10"/>
    <n v="2014"/>
    <s v="Non Fiction"/>
    <s v="Grain Brain: The Surprising Truth about Wheat, Carbs, and Sugar--Your Brain's Silent Killers David Perlmutter MD"/>
    <x v="0"/>
  </r>
  <r>
    <s v="Grey: Fifty Shades of Grey as Told by Christian (Fifty Shades of Grey Series)"/>
    <s v="E L James"/>
    <n v="4.4000000000000004"/>
    <n v="25624"/>
    <n v="14"/>
    <n v="2015"/>
    <s v="Fiction"/>
    <s v="Grey: Fifty Shades of Grey as Told by Christian (Fifty Shades of Grey Series) E L James"/>
    <x v="0"/>
  </r>
  <r>
    <s v="Guts"/>
    <s v="Raina Telgemeier"/>
    <n v="4.8"/>
    <n v="5476"/>
    <n v="7"/>
    <n v="2019"/>
    <s v="Non Fiction"/>
    <s v="Guts Raina Telgemeier"/>
    <x v="0"/>
  </r>
  <r>
    <s v="Hamilton: The Revolution"/>
    <s v="Lin-Manuel Miranda"/>
    <n v="4.9000000000000004"/>
    <n v="5867"/>
    <n v="54"/>
    <n v="2016"/>
    <s v="Non Fiction"/>
    <s v="Hamilton: The Revolution Lin-Manuel Miranda"/>
    <x v="2"/>
  </r>
  <r>
    <s v="Happy, Happy, Happy: My Life and Legacy as the Duck Commander"/>
    <s v="Phil Robertson"/>
    <n v="4.8"/>
    <n v="4148"/>
    <n v="11"/>
    <n v="2013"/>
    <s v="Non Fiction"/>
    <s v="Happy, Happy, Happy: My Life and Legacy as the Duck Commander Phil Robertson"/>
    <x v="0"/>
  </r>
  <r>
    <s v="Harry Potter and the Chamber of Secrets: The Illustrated Edition (Harry Potter, Book 2)"/>
    <s v="J.K. Rowling"/>
    <n v="4.9000000000000004"/>
    <n v="19622"/>
    <n v="30"/>
    <n v="2016"/>
    <s v="Fiction"/>
    <s v="Harry Potter and the Chamber of Secrets: The Illustrated Edition (Harry Potter, Book 2) J.K. Rowling"/>
    <x v="0"/>
  </r>
  <r>
    <s v="Harry Potter and the Cursed Child, Parts 1 &amp; 2, Special Rehearsal Edition Script"/>
    <s v="J.K. Rowling"/>
    <n v="4"/>
    <n v="23973"/>
    <n v="12"/>
    <n v="2016"/>
    <s v="Fiction"/>
    <s v="Harry Potter and the Cursed Child, Parts 1 &amp; 2, Special Rehearsal Edition Script J.K. Rowling"/>
    <x v="0"/>
  </r>
  <r>
    <s v="Harry Potter and the Goblet of Fire: The Illustrated Edition (Harry Potter, Book 4) (4)"/>
    <s v="J. K. Rowling"/>
    <n v="4.9000000000000004"/>
    <n v="7758"/>
    <n v="18"/>
    <n v="2019"/>
    <s v="Fiction"/>
    <s v="Harry Potter and the Goblet of Fire: The Illustrated Edition (Harry Potter, Book 4) (4) J. K. Rowling"/>
    <x v="0"/>
  </r>
  <r>
    <s v="Harry Potter and the Prisoner of Azkaban: The Illustrated Edition (Harry Potter, Book 3)"/>
    <s v="J.K. Rowling"/>
    <n v="4.9000000000000004"/>
    <n v="3146"/>
    <n v="30"/>
    <n v="2017"/>
    <s v="Fiction"/>
    <s v="Harry Potter and the Prisoner of Azkaban: The Illustrated Edition (Harry Potter, Book 3) J.K. Rowling"/>
    <x v="0"/>
  </r>
  <r>
    <s v="Harry Potter and the Sorcerer's Stone: The Illustrated Edition (Harry Potter, Book 1)"/>
    <s v="J.K. Rowling"/>
    <n v="4.9000000000000004"/>
    <n v="10052"/>
    <n v="22"/>
    <n v="2016"/>
    <s v="Fiction"/>
    <s v="Harry Potter and the Sorcerer's Stone: The Illustrated Edition (Harry Potter, Book 1) J.K. Rowling"/>
    <x v="0"/>
  </r>
  <r>
    <s v="Harry Potter Coloring Book"/>
    <s v="Scholastic"/>
    <n v="4.7"/>
    <n v="3564"/>
    <n v="9"/>
    <n v="2015"/>
    <s v="Non Fiction"/>
    <s v="Harry Potter Coloring Book Scholastic"/>
    <x v="0"/>
  </r>
  <r>
    <s v="Harry Potter Paperback Box Set (Books 1-7)"/>
    <s v="J. K. Rowling"/>
    <n v="4.8"/>
    <n v="13471"/>
    <n v="52"/>
    <n v="2016"/>
    <s v="Fiction"/>
    <s v="Harry Potter Paperback Box Set (Books 1-7) J. K. Rowling"/>
    <x v="2"/>
  </r>
  <r>
    <s v="Have a Little Faith: A True Story"/>
    <s v="Mitch Albom"/>
    <n v="4.8"/>
    <n v="1930"/>
    <n v="4"/>
    <n v="2009"/>
    <s v="Non Fiction"/>
    <s v="Have a Little Faith: A True Story Mitch Albom"/>
    <x v="0"/>
  </r>
  <r>
    <s v="Heaven is for Real: A Little Boy's Astounding Story of His Trip to Heaven and Back"/>
    <s v="Todd Burpo"/>
    <n v="4.7"/>
    <n v="15779"/>
    <n v="10"/>
    <n v="2011"/>
    <s v="Non Fiction"/>
    <s v="Heaven is for Real: A Little Boy's Astounding Story of His Trip to Heaven and Back Todd Burpo"/>
    <x v="0"/>
  </r>
  <r>
    <s v="Hillbilly Elegy: A Memoir of a Family and Culture in Crisis"/>
    <s v="J. D. Vance"/>
    <n v="4.4000000000000004"/>
    <n v="15526"/>
    <n v="14"/>
    <n v="2016"/>
    <s v="Non Fiction"/>
    <s v="Hillbilly Elegy: A Memoir of a Family and Culture in Crisis J. D. Vance"/>
    <x v="0"/>
  </r>
  <r>
    <s v="Homebody: A Guide to Creating Spaces You Never Want to Leave"/>
    <s v="Joanna Gaines"/>
    <n v="4.8"/>
    <n v="3776"/>
    <n v="22"/>
    <n v="2018"/>
    <s v="Non Fiction"/>
    <s v="Homebody: A Guide to Creating Spaces You Never Want to Leave Joanna Gaines"/>
    <x v="0"/>
  </r>
  <r>
    <s v="How to Win Friends &amp; Influence People"/>
    <s v="Dale Carnegie"/>
    <n v="4.7"/>
    <n v="25001"/>
    <n v="11"/>
    <n v="2014"/>
    <s v="Non Fiction"/>
    <s v="How to Win Friends &amp; Influence People Dale Carnegie"/>
    <x v="0"/>
  </r>
  <r>
    <s v="Howard Stern Comes Again"/>
    <s v="Howard Stern"/>
    <n v="4.3"/>
    <n v="5272"/>
    <n v="16"/>
    <n v="2019"/>
    <s v="Non Fiction"/>
    <s v="Howard Stern Comes Again Howard Stern"/>
    <x v="0"/>
  </r>
  <r>
    <s v="Humans of New York"/>
    <s v="Brandon Stanton"/>
    <n v="4.8"/>
    <n v="3490"/>
    <n v="15"/>
    <n v="2013"/>
    <s v="Non Fiction"/>
    <s v="Humans of New York Brandon Stanton"/>
    <x v="0"/>
  </r>
  <r>
    <s v="Humans of New York : Stories"/>
    <s v="Brandon Stanton"/>
    <n v="4.9000000000000004"/>
    <n v="2812"/>
    <n v="17"/>
    <n v="2015"/>
    <s v="Non Fiction"/>
    <s v="Humans of New York : Stories Brandon Stanton"/>
    <x v="0"/>
  </r>
  <r>
    <s v="Hyperbole and a Half: Unfortunate Situations, Flawed Coping Mechanisms, Mayhem, and Other Things That Happened"/>
    <s v="Allie Brosh"/>
    <n v="4.7"/>
    <n v="4896"/>
    <n v="17"/>
    <n v="2013"/>
    <s v="Non Fiction"/>
    <s v="Hyperbole and a Half: Unfortunate Situations, Flawed Coping Mechanisms, Mayhem, and Other Things That Happened Allie Brosh"/>
    <x v="0"/>
  </r>
  <r>
    <s v="I Am Confident, Brave &amp; Beautiful: A Coloring Book for Girls"/>
    <s v="Hopscotch Girls"/>
    <n v="4.8"/>
    <n v="9737"/>
    <n v="7"/>
    <n v="2019"/>
    <s v="Non Fiction"/>
    <s v="I Am Confident, Brave &amp; Beautiful: A Coloring Book for Girls Hopscotch Girls"/>
    <x v="0"/>
  </r>
  <r>
    <s v="I, Alex Cross"/>
    <s v="James Patterson"/>
    <n v="4.5999999999999996"/>
    <n v="1320"/>
    <n v="7"/>
    <n v="2009"/>
    <s v="Fiction"/>
    <s v="I, Alex Cross James Patterson"/>
    <x v="0"/>
  </r>
  <r>
    <s v="If Animals Kissed Good Night"/>
    <s v="Ann Whitford Paul"/>
    <n v="4.8"/>
    <n v="16643"/>
    <n v="4"/>
    <n v="2017"/>
    <s v="Fiction"/>
    <s v="If Animals Kissed Good Night Ann Whitford Paul"/>
    <x v="0"/>
  </r>
  <r>
    <s v="If I Stay"/>
    <s v="Gayle Forman"/>
    <n v="4.3"/>
    <n v="7153"/>
    <n v="9"/>
    <n v="2014"/>
    <s v="Fiction"/>
    <s v="If I Stay Gayle Forman"/>
    <x v="0"/>
  </r>
  <r>
    <s v="In the Garden of Beasts: Love, Terror, and an American Family in Hitler's Berlin"/>
    <s v="Eric Larson"/>
    <n v="4.4000000000000004"/>
    <n v="4571"/>
    <n v="21"/>
    <n v="2011"/>
    <s v="Non Fiction"/>
    <s v="In the Garden of Beasts: Love, Terror, and an American Family in Hitler's Berlin Eric Larson"/>
    <x v="0"/>
  </r>
  <r>
    <s v="Inferno"/>
    <s v="Dan Brown"/>
    <n v="4.0999999999999996"/>
    <n v="29651"/>
    <n v="14"/>
    <n v="2013"/>
    <s v="Fiction"/>
    <s v="Inferno Dan Brown"/>
    <x v="0"/>
  </r>
  <r>
    <s v="Inheritance: Book IV (Inheritance Cycle)"/>
    <s v="Christopher Paolini"/>
    <n v="4.5999999999999996"/>
    <n v="5299"/>
    <n v="20"/>
    <n v="2011"/>
    <s v="Fiction"/>
    <s v="Inheritance: Book IV (Inheritance Cycle) Christopher Paolini"/>
    <x v="0"/>
  </r>
  <r>
    <s v="Instant Pot Pressure Cooker Cookbook: 500 Everyday Recipes for Beginners and Advanced Users. Try Easy and Healthy…"/>
    <s v="Jennifer Smith"/>
    <n v="4.4000000000000004"/>
    <n v="7396"/>
    <n v="13"/>
    <n v="2019"/>
    <s v="Non Fiction"/>
    <s v="Instant Pot Pressure Cooker Cookbook: 500 Everyday Recipes for Beginners and Advanced Users. Try Easy and Healthy… Jennifer Smith"/>
    <x v="0"/>
  </r>
  <r>
    <s v="It's Not Supposed to Be This Way: Finding Unexpected Strength When Disappointments Leave You Shattered"/>
    <s v="Lysa TerKeurst"/>
    <n v="4.8"/>
    <n v="7062"/>
    <n v="12"/>
    <n v="2019"/>
    <s v="Non Fiction"/>
    <s v="It's Not Supposed to Be This Way: Finding Unexpected Strength When Disappointments Leave You Shattered Lysa TerKeurst"/>
    <x v="0"/>
  </r>
  <r>
    <s v="Jesus Calling: Enjoying Peace in His Presence (with Scripture References)"/>
    <s v="Sarah Young"/>
    <n v="4.9000000000000004"/>
    <n v="19576"/>
    <n v="8"/>
    <n v="2011"/>
    <s v="Non Fiction"/>
    <s v="Jesus Calling: Enjoying Peace in His Presence (with Scripture References) Sarah Young"/>
    <x v="0"/>
  </r>
  <r>
    <s v="JOURNEY TO THE ICE P"/>
    <s v="RH Disney"/>
    <n v="4.5999999999999996"/>
    <n v="978"/>
    <n v="0"/>
    <n v="2014"/>
    <s v="Fiction"/>
    <s v="JOURNEY TO THE ICE P RH Disney"/>
    <x v="0"/>
  </r>
  <r>
    <s v="Joyland (Hard Case Crime)"/>
    <s v="Stephen King"/>
    <n v="4.5"/>
    <n v="4748"/>
    <n v="12"/>
    <n v="2013"/>
    <s v="Fiction"/>
    <s v="Joyland (Hard Case Crime) Stephen King"/>
    <x v="0"/>
  </r>
  <r>
    <s v="Killers of the Flower Moon: The Osage Murders and the Birth of the FBI"/>
    <s v="David Grann"/>
    <n v="4.5999999999999996"/>
    <n v="8393"/>
    <n v="17"/>
    <n v="2017"/>
    <s v="Non Fiction"/>
    <s v="Killers of the Flower Moon: The Osage Murders and the Birth of the FBI David Grann"/>
    <x v="0"/>
  </r>
  <r>
    <s v="Killing Jesus (Bill O'Reilly's Killing Series)"/>
    <s v="Bill O'Reilly"/>
    <n v="4.5"/>
    <n v="11391"/>
    <n v="12"/>
    <n v="2013"/>
    <s v="Non Fiction"/>
    <s v="Killing Jesus (Bill O'Reilly's Killing Series) Bill O'Reilly"/>
    <x v="0"/>
  </r>
  <r>
    <s v="Killing Kennedy: The End of Camelot"/>
    <s v="Bill O'Reilly"/>
    <n v="4.5999999999999996"/>
    <n v="8634"/>
    <n v="25"/>
    <n v="2012"/>
    <s v="Non Fiction"/>
    <s v="Killing Kennedy: The End of Camelot Bill O'Reilly"/>
    <x v="0"/>
  </r>
  <r>
    <s v="Killing Lincoln: The Shocking Assassination that Changed America Forever (Bill O'Reilly's Killing Series)"/>
    <s v="Bill O'Reilly"/>
    <n v="4.7"/>
    <n v="9342"/>
    <n v="10"/>
    <n v="2011"/>
    <s v="Non Fiction"/>
    <s v="Killing Lincoln: The Shocking Assassination that Changed America Forever (Bill O'Reilly's Killing Series) Bill O'Reilly"/>
    <x v="0"/>
  </r>
  <r>
    <s v="Killing Patton: The Strange Death of World War II's Most Audacious General (Bill O'Reilly's Killing Series)"/>
    <s v="Bill O'Reilly"/>
    <n v="4.5999999999999996"/>
    <n v="10927"/>
    <n v="6"/>
    <n v="2014"/>
    <s v="Non Fiction"/>
    <s v="Killing Patton: The Strange Death of World War II's Most Audacious General (Bill O'Reilly's Killing Series) Bill O'Reilly"/>
    <x v="0"/>
  </r>
  <r>
    <s v="Killing Reagan: The Violent Assault That Changed a Presidency (Bill O'Reilly's Killing Series)"/>
    <s v="Bill O'Reilly"/>
    <n v="4.5999999999999996"/>
    <n v="5235"/>
    <n v="5"/>
    <n v="2015"/>
    <s v="Non Fiction"/>
    <s v="Killing Reagan: The Violent Assault That Changed a Presidency (Bill O'Reilly's Killing Series) Bill O'Reilly"/>
    <x v="0"/>
  </r>
  <r>
    <s v="Killing the Rising Sun: How America Vanquished World War II Japan (Bill O'Reilly's Killing Series)"/>
    <s v="Bill O'Reilly"/>
    <n v="4.8"/>
    <n v="8916"/>
    <n v="6"/>
    <n v="2016"/>
    <s v="Non Fiction"/>
    <s v="Killing the Rising Sun: How America Vanquished World War II Japan (Bill O'Reilly's Killing Series) Bill O'Reilly"/>
    <x v="0"/>
  </r>
  <r>
    <s v="Kitchen Confidential Updated Edition: Adventures in the Culinary Underbelly (P.S.)"/>
    <s v="Anthony Bourdain"/>
    <n v="4.8"/>
    <n v="2507"/>
    <n v="8"/>
    <n v="2018"/>
    <s v="Non Fiction"/>
    <s v="Kitchen Confidential Updated Edition: Adventures in the Culinary Underbelly (P.S.) Anthony Bourdain"/>
    <x v="0"/>
  </r>
  <r>
    <s v="Knock-Knock Jokes for Kids"/>
    <s v="Rob Elliott"/>
    <n v="4.5"/>
    <n v="3673"/>
    <n v="4"/>
    <n v="2013"/>
    <s v="Non Fiction"/>
    <s v="Knock-Knock Jokes for Kids Rob Elliott"/>
    <x v="0"/>
  </r>
  <r>
    <s v="Last Week Tonight with John Oliver Presents A Day in the Life of Marlon Bundo (Better Bundo Book, LGBT Childrens Book)"/>
    <s v="Jill Twiss"/>
    <n v="4.9000000000000004"/>
    <n v="11881"/>
    <n v="13"/>
    <n v="2018"/>
    <s v="Fiction"/>
    <s v="Last Week Tonight with John Oliver Presents A Day in the Life of Marlon Bundo (Better Bundo Book, LGBT Childrens Book) Jill Twiss"/>
    <x v="0"/>
  </r>
  <r>
    <s v="Laugh-Out-Loud Jokes for Kids"/>
    <s v="Rob Elliott"/>
    <n v="4.5999999999999996"/>
    <n v="6990"/>
    <n v="4"/>
    <n v="2013"/>
    <s v="Non Fiction"/>
    <s v="Laugh-Out-Loud Jokes for Kids Rob Elliott"/>
    <x v="0"/>
  </r>
  <r>
    <s v="Lean In: Women, Work, and the Will to Lead"/>
    <s v="Sheryl Sandberg"/>
    <n v="4.5"/>
    <n v="6132"/>
    <n v="13"/>
    <n v="2013"/>
    <s v="Non Fiction"/>
    <s v="Lean In: Women, Work, and the Will to Lead Sheryl Sandberg"/>
    <x v="0"/>
  </r>
  <r>
    <s v="Leonardo da Vinci"/>
    <s v="Walter Isaacson"/>
    <n v="4.5"/>
    <n v="3014"/>
    <n v="21"/>
    <n v="2017"/>
    <s v="Non Fiction"/>
    <s v="Leonardo da Vinci Walter Isaacson"/>
    <x v="0"/>
  </r>
  <r>
    <s v="Lettering and Modern Calligraphy: A Beginner's Guide: Learn Hand Lettering and Brush Lettering"/>
    <s v="Paper Peony Press"/>
    <n v="4.4000000000000004"/>
    <n v="7550"/>
    <n v="6"/>
    <n v="2018"/>
    <s v="Non Fiction"/>
    <s v="Lettering and Modern Calligraphy: A Beginner's Guide: Learn Hand Lettering and Brush Lettering Paper Peony Press"/>
    <x v="0"/>
  </r>
  <r>
    <s v="Liberty and Tyranny: A Conservative Manifesto"/>
    <s v="Mark R. Levin"/>
    <n v="4.8"/>
    <n v="3828"/>
    <n v="15"/>
    <n v="2009"/>
    <s v="Non Fiction"/>
    <s v="Liberty and Tyranny: A Conservative Manifesto Mark R. Levin"/>
    <x v="0"/>
  </r>
  <r>
    <s v="Life"/>
    <s v="Keith Richards"/>
    <n v="4.5"/>
    <n v="2752"/>
    <n v="18"/>
    <n v="2010"/>
    <s v="Non Fiction"/>
    <s v="Life Keith Richards"/>
    <x v="0"/>
  </r>
  <r>
    <s v="Little Bee: A Novel"/>
    <s v="Chris Cleave"/>
    <n v="4.0999999999999996"/>
    <n v="1467"/>
    <n v="10"/>
    <n v="2010"/>
    <s v="Fiction"/>
    <s v="Little Bee: A Novel Chris Cleave"/>
    <x v="0"/>
  </r>
  <r>
    <s v="Little Blue Truck"/>
    <s v="Alice Schertle"/>
    <n v="4.9000000000000004"/>
    <n v="1884"/>
    <n v="0"/>
    <n v="2014"/>
    <s v="Fiction"/>
    <s v="Little Blue Truck Alice Schertle"/>
    <x v="0"/>
  </r>
  <r>
    <s v="Little Fires Everywhere"/>
    <s v="Celeste Ng"/>
    <n v="4.5"/>
    <n v="25706"/>
    <n v="12"/>
    <n v="2018"/>
    <s v="Fiction"/>
    <s v="Little Fires Everywhere Celeste Ng"/>
    <x v="0"/>
  </r>
  <r>
    <s v="Looking for Alaska"/>
    <s v="John Green"/>
    <n v="4.5"/>
    <n v="8491"/>
    <n v="7"/>
    <n v="2014"/>
    <s v="Fiction"/>
    <s v="Looking for Alaska John Green"/>
    <x v="0"/>
  </r>
  <r>
    <s v="Love Wins: A Book About Heaven, Hell, and the Fate of Every Person Who Ever Lived"/>
    <s v="Rob Bell"/>
    <n v="4.2"/>
    <n v="1649"/>
    <n v="13"/>
    <n v="2011"/>
    <s v="Non Fiction"/>
    <s v="Love Wins: A Book About Heaven, Hell, and the Fate of Every Person Who Ever Lived Rob Bell"/>
    <x v="0"/>
  </r>
  <r>
    <s v="Love You Forever"/>
    <s v="Robert Munsch"/>
    <n v="4.8"/>
    <n v="18613"/>
    <n v="5"/>
    <n v="2014"/>
    <s v="Fiction"/>
    <s v="Love You Forever Robert Munsch"/>
    <x v="0"/>
  </r>
  <r>
    <s v="Magnolia Table: A Collection of Recipes for Gathering"/>
    <s v="Joanna Gaines"/>
    <n v="4.8"/>
    <n v="9867"/>
    <n v="16"/>
    <n v="2018"/>
    <s v="Non Fiction"/>
    <s v="Magnolia Table: A Collection of Recipes for Gathering Joanna Gaines"/>
    <x v="0"/>
  </r>
  <r>
    <s v="Make It Ahead: A Barefoot Contessa Cookbook"/>
    <s v="Ina Garten"/>
    <n v="4.5"/>
    <n v="1386"/>
    <n v="20"/>
    <n v="2014"/>
    <s v="Non Fiction"/>
    <s v="Make It Ahead: A Barefoot Contessa Cookbook Ina Garten"/>
    <x v="0"/>
  </r>
  <r>
    <s v="Make Your Bed: Little Things That Can Change Your Life...And Maybe the World"/>
    <s v="Admiral William H. McRaven"/>
    <n v="4.7"/>
    <n v="10199"/>
    <n v="11"/>
    <n v="2017"/>
    <s v="Non Fiction"/>
    <s v="Make Your Bed: Little Things That Can Change Your Life...And Maybe the World Admiral William H. McRaven"/>
    <x v="0"/>
  </r>
  <r>
    <s v="Mastering the Art of French Cooking, Vol. 2"/>
    <s v="Julia Child"/>
    <n v="4.8"/>
    <n v="2926"/>
    <n v="27"/>
    <n v="2009"/>
    <s v="Non Fiction"/>
    <s v="Mastering the Art of French Cooking, Vol. 2 Julia Child"/>
    <x v="0"/>
  </r>
  <r>
    <s v="Milk and Honey"/>
    <s v="Rupi Kaur"/>
    <n v="4.7"/>
    <n v="17739"/>
    <n v="8"/>
    <n v="2016"/>
    <s v="Non Fiction"/>
    <s v="Milk and Honey Rupi Kaur"/>
    <x v="0"/>
  </r>
  <r>
    <s v="Milk and Vine: Inspirational Quotes From Classic Vines"/>
    <s v="Adam Gasiewski"/>
    <n v="4.4000000000000004"/>
    <n v="3113"/>
    <n v="6"/>
    <n v="2017"/>
    <s v="Non Fiction"/>
    <s v="Milk and Vine: Inspirational Quotes From Classic Vines Adam Gasiewski"/>
    <x v="0"/>
  </r>
  <r>
    <s v="Mindset: The New Psychology of Success"/>
    <s v="Carol S. Dweck"/>
    <n v="4.5999999999999996"/>
    <n v="5542"/>
    <n v="10"/>
    <n v="2014"/>
    <s v="Non Fiction"/>
    <s v="Mindset: The New Psychology of Success Carol S. Dweck"/>
    <x v="0"/>
  </r>
  <r>
    <s v="Mockingjay (The Hunger Games)"/>
    <s v="Suzanne Collins"/>
    <n v="4.5"/>
    <n v="26741"/>
    <n v="8"/>
    <n v="2010"/>
    <s v="Fiction"/>
    <s v="Mockingjay (The Hunger Games) Suzanne Collins"/>
    <x v="0"/>
  </r>
  <r>
    <s v="National Geographic Kids Why?: Over 1,111 Answers to Everything"/>
    <s v="Crispin Boyer"/>
    <n v="4.8"/>
    <n v="5347"/>
    <n v="16"/>
    <n v="2019"/>
    <s v="Non Fiction"/>
    <s v="National Geographic Kids Why?: Over 1,111 Answers to Everything Crispin Boyer"/>
    <x v="0"/>
  </r>
  <r>
    <s v="National Geographic Little Kids First Big Book of Why (National Geographic Little Kids First Big Books)"/>
    <s v="Amy Shields"/>
    <n v="4.8"/>
    <n v="7866"/>
    <n v="11"/>
    <n v="2019"/>
    <s v="Non Fiction"/>
    <s v="National Geographic Little Kids First Big Book of Why (National Geographic Little Kids First Big Books) Amy Shields"/>
    <x v="0"/>
  </r>
  <r>
    <s v="New Moon (The Twilight Saga)"/>
    <s v="Stephenie Meyer"/>
    <n v="4.5999999999999996"/>
    <n v="5680"/>
    <n v="10"/>
    <n v="2009"/>
    <s v="Fiction"/>
    <s v="New Moon (The Twilight Saga) Stephenie Meyer"/>
    <x v="0"/>
  </r>
  <r>
    <s v="Night (Night)"/>
    <s v="Elie Wiesel"/>
    <n v="4.7"/>
    <n v="5178"/>
    <n v="9"/>
    <n v="2016"/>
    <s v="Non Fiction"/>
    <s v="Night (Night) Elie Wiesel"/>
    <x v="0"/>
  </r>
  <r>
    <s v="No Easy Day: The Autobiography of a Navy Seal: The Firsthand Account of the Mission That Killed Osama Bin Laden"/>
    <s v="Mark Owen"/>
    <n v="4.5999999999999996"/>
    <n v="8093"/>
    <n v="14"/>
    <n v="2012"/>
    <s v="Non Fiction"/>
    <s v="No Easy Day: The Autobiography of a Navy Seal: The Firsthand Account of the Mission That Killed Osama Bin Laden Mark Owen"/>
    <x v="0"/>
  </r>
  <r>
    <s v="Obama: An Intimate Portrait"/>
    <s v="Pete Souza"/>
    <n v="4.9000000000000004"/>
    <n v="3192"/>
    <n v="22"/>
    <n v="2017"/>
    <s v="Non Fiction"/>
    <s v="Obama: An Intimate Portrait Pete Souza"/>
    <x v="0"/>
  </r>
  <r>
    <s v="Oh, the Places You'll Go!"/>
    <s v="Dr. Seuss"/>
    <n v="4.9000000000000004"/>
    <n v="21834"/>
    <n v="8"/>
    <n v="2012"/>
    <s v="Fiction"/>
    <s v="Oh, the Places You'll Go! Dr. Seuss"/>
    <x v="0"/>
  </r>
  <r>
    <s v="Old School (Diary of a Wimpy Kid #10)"/>
    <s v="Jeff Kinney"/>
    <n v="4.8"/>
    <n v="6169"/>
    <n v="7"/>
    <n v="2015"/>
    <s v="Fiction"/>
    <s v="Old School (Diary of a Wimpy Kid #10) Jeff Kinney"/>
    <x v="0"/>
  </r>
  <r>
    <s v="Olive Kitteridge"/>
    <s v="Elizabeth Strout"/>
    <n v="4.2"/>
    <n v="4519"/>
    <n v="12"/>
    <n v="2009"/>
    <s v="Fiction"/>
    <s v="Olive Kitteridge Elizabeth Strout"/>
    <x v="0"/>
  </r>
  <r>
    <s v="One Thousand Gifts: A Dare to Live Fully Right Where You Are"/>
    <s v="Ann Voskamp"/>
    <n v="4.5999999999999996"/>
    <n v="3163"/>
    <n v="13"/>
    <n v="2011"/>
    <s v="Non Fiction"/>
    <s v="One Thousand Gifts: A Dare to Live Fully Right Where You Are Ann Voskamp"/>
    <x v="0"/>
  </r>
  <r>
    <s v="Option B: Facing Adversity, Building Resilience, and Finding Joy"/>
    <s v="Sheryl Sandberg"/>
    <n v="4.5"/>
    <n v="1831"/>
    <n v="9"/>
    <n v="2017"/>
    <s v="Non Fiction"/>
    <s v="Option B: Facing Adversity, Building Resilience, and Finding Joy Sheryl Sandberg"/>
    <x v="0"/>
  </r>
  <r>
    <s v="Origin: A Novel (Robert Langdon)"/>
    <s v="Dan Brown"/>
    <n v="4.3"/>
    <n v="18904"/>
    <n v="13"/>
    <n v="2017"/>
    <s v="Fiction"/>
    <s v="Origin: A Novel (Robert Langdon) Dan Brown"/>
    <x v="0"/>
  </r>
  <r>
    <s v="Orphan Train"/>
    <s v="Christina Baker Kline"/>
    <n v="4.5999999999999996"/>
    <n v="21930"/>
    <n v="11"/>
    <n v="2014"/>
    <s v="Fiction"/>
    <s v="Orphan Train Christina Baker Kline"/>
    <x v="0"/>
  </r>
  <r>
    <s v="Outliers: The Story of Success"/>
    <s v="Malcolm Gladwell"/>
    <n v="4.5999999999999996"/>
    <n v="10426"/>
    <n v="20"/>
    <n v="2009"/>
    <s v="Non Fiction"/>
    <s v="Outliers: The Story of Success Malcolm Gladwell"/>
    <x v="0"/>
  </r>
  <r>
    <s v="P is for Potty! (Sesame Street) (Lift-the-Flap)"/>
    <s v="Naomi Kleinberg"/>
    <n v="4.7"/>
    <n v="10820"/>
    <n v="5"/>
    <n v="2018"/>
    <s v="Non Fiction"/>
    <s v="P is for Potty! (Sesame Street) (Lift-the-Flap) Naomi Kleinberg"/>
    <x v="0"/>
  </r>
  <r>
    <s v="Percy Jackson and the Olympians Paperback Boxed Set (Books 1-3)"/>
    <s v="Rick Riordan"/>
    <n v="4.8"/>
    <n v="548"/>
    <n v="2"/>
    <n v="2010"/>
    <s v="Fiction"/>
    <s v="Percy Jackson and the Olympians Paperback Boxed Set (Books 1-3) Rick Riordan"/>
    <x v="0"/>
  </r>
  <r>
    <s v="Player's Handbook (Dungeons &amp; Dragons)"/>
    <s v="Wizards RPG Team"/>
    <n v="4.8"/>
    <n v="16990"/>
    <n v="27"/>
    <n v="2017"/>
    <s v="Fiction"/>
    <s v="Player's Handbook (Dungeons &amp; Dragons) Wizards RPG Team"/>
    <x v="0"/>
  </r>
  <r>
    <s v="Pokémon Deluxe Essential Handbook: The Need-to-Know Stats and Facts on Over 700 Pokémon"/>
    <s v="Scholastic"/>
    <n v="4.7"/>
    <n v="3503"/>
    <n v="9"/>
    <n v="2016"/>
    <s v="Fiction"/>
    <s v="Pokémon Deluxe Essential Handbook: The Need-to-Know Stats and Facts on Over 700 Pokémon Scholastic"/>
    <x v="0"/>
  </r>
  <r>
    <s v="Proof of Heaven: A Neurosurgeon's Journey into the Afterlife"/>
    <s v="Eben Alexander"/>
    <n v="4.3"/>
    <n v="13616"/>
    <n v="10"/>
    <n v="2012"/>
    <s v="Non Fiction"/>
    <s v="Proof of Heaven: A Neurosurgeon's Journey into the Afterlife Eben Alexander"/>
    <x v="0"/>
  </r>
  <r>
    <s v="Publication Manual of the American Psychological Association, 6th Edition"/>
    <s v="American Psychological Association"/>
    <n v="4.5"/>
    <n v="8580"/>
    <n v="46"/>
    <n v="2009"/>
    <s v="Non Fiction"/>
    <s v="Publication Manual of the American Psychological Association, 6th Edition American Psychological Association"/>
    <x v="2"/>
  </r>
  <r>
    <s v="Puppy Birthday to You! (Paw Patrol) (Little Golden Book)"/>
    <s v="Golden Books"/>
    <n v="4.8"/>
    <n v="4757"/>
    <n v="4"/>
    <n v="2017"/>
    <s v="Fiction"/>
    <s v="Puppy Birthday to You! (Paw Patrol) (Little Golden Book) Golden Books"/>
    <x v="0"/>
  </r>
  <r>
    <s v="Quiet: The Power of Introverts in a World That Can't Stop Talking"/>
    <s v="Susan Cain"/>
    <n v="4.5999999999999996"/>
    <n v="10009"/>
    <n v="20"/>
    <n v="2012"/>
    <s v="Non Fiction"/>
    <s v="Quiet: The Power of Introverts in a World That Can't Stop Talking Susan Cain"/>
    <x v="0"/>
  </r>
  <r>
    <s v="Radical: Taking Back Your Faith from the American Dream"/>
    <s v="David Platt"/>
    <n v="4.7"/>
    <n v="1985"/>
    <n v="9"/>
    <n v="2010"/>
    <s v="Non Fiction"/>
    <s v="Radical: Taking Back Your Faith from the American Dream David Platt"/>
    <x v="0"/>
  </r>
  <r>
    <s v="Ready Player One: A Novel"/>
    <s v="Ernest Cline"/>
    <n v="4.5999999999999996"/>
    <n v="22536"/>
    <n v="12"/>
    <n v="2017"/>
    <s v="Fiction"/>
    <s v="Ready Player One: A Novel Ernest Cline"/>
    <x v="0"/>
  </r>
  <r>
    <s v="Rush Revere and the Brave Pilgrims: Time-Travel Adventures with Exceptional Americans (1)"/>
    <s v="Rush Limbaugh"/>
    <n v="4.9000000000000004"/>
    <n v="7150"/>
    <n v="12"/>
    <n v="2013"/>
    <s v="Fiction"/>
    <s v="Rush Revere and the Brave Pilgrims: Time-Travel Adventures with Exceptional Americans (1) Rush Limbaugh"/>
    <x v="0"/>
  </r>
  <r>
    <s v="Rush Revere and the First Patriots: Time-Travel Adventures With Exceptional Americans (2)"/>
    <s v="Rush Limbaugh"/>
    <n v="4.9000000000000004"/>
    <n v="3836"/>
    <n v="12"/>
    <n v="2014"/>
    <s v="Fiction"/>
    <s v="Rush Revere and the First Patriots: Time-Travel Adventures With Exceptional Americans (2) Rush Limbaugh"/>
    <x v="0"/>
  </r>
  <r>
    <s v="Salt, Fat, Acid, Heat: Mastering the Elements of Good Cooking"/>
    <s v="Samin Nosrat"/>
    <n v="4.8"/>
    <n v="7802"/>
    <n v="20"/>
    <n v="2018"/>
    <s v="Non Fiction"/>
    <s v="Salt, Fat, Acid, Heat: Mastering the Elements of Good Cooking Samin Nosrat"/>
    <x v="0"/>
  </r>
  <r>
    <s v="Sarah's Key"/>
    <s v="Tatiana de Rosnay"/>
    <n v="4.5999999999999996"/>
    <n v="3619"/>
    <n v="10"/>
    <n v="2010"/>
    <s v="Fiction"/>
    <s v="Sarah's Key Tatiana de Rosnay"/>
    <x v="0"/>
  </r>
  <r>
    <s v="School Zone - Big Preschool Workbook - Ages 4 and Up, Colors, Shapes, Numbers 1-10, Alphabet, Pre-Writing, Pre-Reading…"/>
    <s v="School Zone"/>
    <n v="4.8"/>
    <n v="23047"/>
    <n v="6"/>
    <n v="2018"/>
    <s v="Non Fiction"/>
    <s v="School Zone - Big Preschool Workbook - Ages 4 and Up, Colors, Shapes, Numbers 1-10, Alphabet, Pre-Writing, Pre-Reading… School Zone"/>
    <x v="0"/>
  </r>
  <r>
    <s v="Secret Garden: An Inky Treasure Hunt and Coloring Book (For Adults, mindfulness coloring)"/>
    <s v="Johanna Basford"/>
    <n v="4.7"/>
    <n v="9366"/>
    <n v="9"/>
    <n v="2015"/>
    <s v="Non Fiction"/>
    <s v="Secret Garden: An Inky Treasure Hunt and Coloring Book (For Adults, mindfulness coloring) Johanna Basford"/>
    <x v="0"/>
  </r>
  <r>
    <s v="Sh*t My Dad Says"/>
    <s v="Justin Halpern"/>
    <n v="4.7"/>
    <n v="1265"/>
    <n v="11"/>
    <n v="2010"/>
    <s v="Non Fiction"/>
    <s v="Sh*t My Dad Says Justin Halpern"/>
    <x v="0"/>
  </r>
  <r>
    <s v="Ship of Fools: How a Selfish Ruling Class Is Bringing America to the Brink of Revolution"/>
    <s v="Tucker Carlson"/>
    <n v="4.8"/>
    <n v="3923"/>
    <n v="16"/>
    <n v="2018"/>
    <s v="Non Fiction"/>
    <s v="Ship of Fools: How a Selfish Ruling Class Is Bringing America to the Brink of Revolution Tucker Carlson"/>
    <x v="0"/>
  </r>
  <r>
    <s v="Shred: The Revolutionary Diet: 6 Weeks 4 Inches 2 Sizes"/>
    <s v="Ian K. Smith M.D."/>
    <n v="4.0999999999999996"/>
    <n v="2272"/>
    <n v="6"/>
    <n v="2013"/>
    <s v="Non Fiction"/>
    <s v="Shred: The Revolutionary Diet: 6 Weeks 4 Inches 2 Sizes Ian K. Smith M.D."/>
    <x v="0"/>
  </r>
  <r>
    <s v="Sookie Stackhouse"/>
    <s v="Charlaine Harris"/>
    <n v="4.7"/>
    <n v="973"/>
    <n v="25"/>
    <n v="2009"/>
    <s v="Fiction"/>
    <s v="Sookie Stackhouse Charlaine Harris"/>
    <x v="0"/>
  </r>
  <r>
    <s v="Soul Healing Miracles: Ancient and New Sacred Wisdom, Knowledge, and Practical Techniques for Healing the Spiritual…"/>
    <s v="Zhi Gang Sha"/>
    <n v="4.5999999999999996"/>
    <n v="220"/>
    <n v="17"/>
    <n v="2013"/>
    <s v="Non Fiction"/>
    <s v="Soul Healing Miracles: Ancient and New Sacred Wisdom, Knowledge, and Practical Techniques for Healing the Spiritual… Zhi Gang Sha"/>
    <x v="0"/>
  </r>
  <r>
    <s v="Steve Jobs"/>
    <s v="Walter Isaacson"/>
    <n v="4.5999999999999996"/>
    <n v="7827"/>
    <n v="20"/>
    <n v="2011"/>
    <s v="Non Fiction"/>
    <s v="Steve Jobs Walter Isaacson"/>
    <x v="0"/>
  </r>
  <r>
    <s v="Strange Planet (Strange Planet Series)"/>
    <s v="Nathan W. Pyle"/>
    <n v="4.9000000000000004"/>
    <n v="9382"/>
    <n v="6"/>
    <n v="2019"/>
    <s v="Fiction"/>
    <s v="Strange Planet (Strange Planet Series) Nathan W. Pyle"/>
    <x v="0"/>
  </r>
  <r>
    <s v="StrengthsFinder 2.0"/>
    <s v="Gallup"/>
    <n v="4"/>
    <n v="5069"/>
    <n v="17"/>
    <n v="2009"/>
    <s v="Non Fiction"/>
    <s v="StrengthsFinder 2.0 Gallup"/>
    <x v="0"/>
  </r>
  <r>
    <s v="Super Freakonomics: Global Cooling, Patriotic Prostitutes, and Why Suicide Bombers Should Buy Life Insurance"/>
    <s v="Steven D. Levitt"/>
    <n v="4.5"/>
    <n v="1583"/>
    <n v="18"/>
    <n v="2009"/>
    <s v="Non Fiction"/>
    <s v="Super Freakonomics: Global Cooling, Patriotic Prostitutes, and Why Suicide Bombers Should Buy Life Insurance Steven D. Levitt"/>
    <x v="0"/>
  </r>
  <r>
    <s v="Switch: How to Change Things When Change Is Hard"/>
    <s v="Chip Heath"/>
    <n v="4.5999999999999996"/>
    <n v="1907"/>
    <n v="13"/>
    <n v="2010"/>
    <s v="Non Fiction"/>
    <s v="Switch: How to Change Things When Change Is Hard Chip Heath"/>
    <x v="0"/>
  </r>
  <r>
    <s v="Sycamore Row (Jake Brigance)"/>
    <s v="John Grisham"/>
    <n v="4.5"/>
    <n v="23114"/>
    <n v="18"/>
    <n v="2013"/>
    <s v="Fiction"/>
    <s v="Sycamore Row (Jake Brigance) John Grisham"/>
    <x v="0"/>
  </r>
  <r>
    <s v="Teach Like a Champion: 49 Techniques that Put Students on the Path to College"/>
    <s v="Doug Lemov"/>
    <n v="4.4000000000000004"/>
    <n v="637"/>
    <n v="20"/>
    <n v="2010"/>
    <s v="Non Fiction"/>
    <s v="Teach Like a Champion: 49 Techniques that Put Students on the Path to College Doug Lemov"/>
    <x v="0"/>
  </r>
  <r>
    <s v="The 17 Day Diet: A Doctor's Plan Designed for Rapid Results"/>
    <s v="Mike Moreno"/>
    <n v="4.3"/>
    <n v="2314"/>
    <n v="22"/>
    <n v="2011"/>
    <s v="Non Fiction"/>
    <s v="The 17 Day Diet: A Doctor's Plan Designed for Rapid Results Mike Moreno"/>
    <x v="0"/>
  </r>
  <r>
    <s v="The 4 Hour Body: An Uncommon Guide to Rapid Fat Loss, Incredible Sex and Becoming Superhuman"/>
    <s v="Timothy Ferriss"/>
    <n v="4.3"/>
    <n v="4587"/>
    <n v="21"/>
    <n v="2011"/>
    <s v="Non Fiction"/>
    <s v="The 4 Hour Body: An Uncommon Guide to Rapid Fat Loss, Incredible Sex and Becoming Superhuman Timothy Ferriss"/>
    <x v="0"/>
  </r>
  <r>
    <s v="The 5 Love Languages: The Secret to Love That Lasts"/>
    <s v="Gary Chapman"/>
    <n v="4.7"/>
    <n v="3477"/>
    <n v="28"/>
    <n v="2010"/>
    <s v="Non Fiction"/>
    <s v="The 5 Love Languages: The Secret to Love That Lasts Gary Chapman"/>
    <x v="0"/>
  </r>
  <r>
    <s v="The 5000 Year Leap"/>
    <s v="W. Cleon Skousen"/>
    <n v="4.8"/>
    <n v="1680"/>
    <n v="12"/>
    <n v="2009"/>
    <s v="Non Fiction"/>
    <s v="The 5000 Year Leap W. Cleon Skousen"/>
    <x v="0"/>
  </r>
  <r>
    <s v="The 7 Habits of Highly Effective People: Powerful Lessons in Personal Change"/>
    <s v="Stephen R. Covey"/>
    <n v="4.5999999999999996"/>
    <n v="9325"/>
    <n v="24"/>
    <n v="2009"/>
    <s v="Non Fiction"/>
    <s v="The 7 Habits of Highly Effective People: Powerful Lessons in Personal Change Stephen R. Covey"/>
    <x v="0"/>
  </r>
  <r>
    <s v="The Alchemist"/>
    <s v="Paulo Coelho"/>
    <n v="4.7"/>
    <n v="35799"/>
    <n v="39"/>
    <n v="2014"/>
    <s v="Fiction"/>
    <s v="The Alchemist Paulo Coelho"/>
    <x v="2"/>
  </r>
  <r>
    <s v="The Amateur"/>
    <s v="Edward Klein"/>
    <n v="4.5999999999999996"/>
    <n v="2580"/>
    <n v="9"/>
    <n v="2012"/>
    <s v="Non Fiction"/>
    <s v="The Amateur Edward Klein"/>
    <x v="0"/>
  </r>
  <r>
    <s v="The Art of Racing in the Rain: A Novel"/>
    <s v="Garth Stein"/>
    <n v="4.7"/>
    <n v="11813"/>
    <n v="10"/>
    <n v="2010"/>
    <s v="Fiction"/>
    <s v="The Art of Racing in the Rain: A Novel Garth Stein"/>
    <x v="0"/>
  </r>
  <r>
    <s v="The Big Short: Inside the Doomsday Machine"/>
    <s v="Michael Lewis"/>
    <n v="4.7"/>
    <n v="3536"/>
    <n v="17"/>
    <n v="2010"/>
    <s v="Non Fiction"/>
    <s v="The Big Short: Inside the Doomsday Machine Michael Lewis"/>
    <x v="0"/>
  </r>
  <r>
    <s v="The Blood of Olympus (The Heroes of Olympus (5))"/>
    <s v="Rick Riordan"/>
    <n v="4.8"/>
    <n v="6600"/>
    <n v="11"/>
    <n v="2014"/>
    <s v="Fiction"/>
    <s v="The Blood of Olympus (The Heroes of Olympus (5)) Rick Riordan"/>
    <x v="0"/>
  </r>
  <r>
    <s v="The Blood Sugar Solution: The UltraHealthy Program for Losing Weight, Preventing Disease, and Feeling Great Now!"/>
    <s v="Mark Hyman M.D."/>
    <n v="4.2"/>
    <n v="1789"/>
    <n v="14"/>
    <n v="2012"/>
    <s v="Non Fiction"/>
    <s v="The Blood Sugar Solution: The UltraHealthy Program for Losing Weight, Preventing Disease, and Feeling Great Now! Mark Hyman M.D."/>
    <x v="0"/>
  </r>
  <r>
    <s v="The Body Keeps the Score: Brain, Mind, and Body in the Healing of Trauma"/>
    <s v="Bessel van der Kolk M.D."/>
    <n v="4.8"/>
    <n v="12361"/>
    <n v="12"/>
    <n v="2019"/>
    <s v="Non Fiction"/>
    <s v="The Body Keeps the Score: Brain, Mind, and Body in the Healing of Trauma Bessel van der Kolk M.D."/>
    <x v="0"/>
  </r>
  <r>
    <s v="The Book of Basketball: The NBA According to The Sports Guy"/>
    <s v="Bill Simmons"/>
    <n v="4.7"/>
    <n v="858"/>
    <n v="53"/>
    <n v="2009"/>
    <s v="Non Fiction"/>
    <s v="The Book of Basketball: The NBA According to The Sports Guy Bill Simmons"/>
    <x v="2"/>
  </r>
  <r>
    <s v="The Book Thief"/>
    <s v="Markus Zusak"/>
    <n v="4.5999999999999996"/>
    <n v="23148"/>
    <n v="6"/>
    <n v="2013"/>
    <s v="Fiction"/>
    <s v="The Book Thief Markus Zusak"/>
    <x v="0"/>
  </r>
  <r>
    <s v="The Book with No Pictures"/>
    <s v="B. J. Novak"/>
    <n v="4.8"/>
    <n v="8081"/>
    <n v="8"/>
    <n v="2014"/>
    <s v="Fiction"/>
    <s v="The Book with No Pictures B. J. Novak"/>
    <x v="0"/>
  </r>
  <r>
    <s v="The Boys in the Boat: Nine Americans and Their Epic Quest for Gold at the 1936 Berlin Olympics"/>
    <s v="Daniel James Brown"/>
    <n v="4.8"/>
    <n v="23358"/>
    <n v="12"/>
    <n v="2014"/>
    <s v="Non Fiction"/>
    <s v="The Boys in the Boat: Nine Americans and Their Epic Quest for Gold at the 1936 Berlin Olympics Daniel James Brown"/>
    <x v="0"/>
  </r>
  <r>
    <s v="The Casual Vacancy"/>
    <s v="J.K. Rowling"/>
    <n v="3.3"/>
    <n v="9372"/>
    <n v="12"/>
    <n v="2012"/>
    <s v="Fiction"/>
    <s v="The Casual Vacancy J.K. Rowling"/>
    <x v="0"/>
  </r>
  <r>
    <s v="The China Study: The Most Comprehensive Study of Nutrition Ever Conducted And the Startling Implications for Diet…"/>
    <s v="Thomas Campbell"/>
    <n v="4.7"/>
    <n v="4633"/>
    <n v="21"/>
    <n v="2011"/>
    <s v="Non Fiction"/>
    <s v="The China Study: The Most Comprehensive Study of Nutrition Ever Conducted And the Startling Implications for Diet… Thomas Campbell"/>
    <x v="0"/>
  </r>
  <r>
    <s v="The Complete Ketogenic Diet for Beginners: Your Essential Guide to Living the Keto Lifestyle"/>
    <s v="Amy Ramos"/>
    <n v="4.3"/>
    <n v="13061"/>
    <n v="6"/>
    <n v="2018"/>
    <s v="Non Fiction"/>
    <s v="The Complete Ketogenic Diet for Beginners: Your Essential Guide to Living the Keto Lifestyle Amy Ramos"/>
    <x v="0"/>
  </r>
  <r>
    <s v="The Confession: A Novel"/>
    <s v="John Grisham"/>
    <n v="4.3"/>
    <n v="3523"/>
    <n v="13"/>
    <n v="2010"/>
    <s v="Fiction"/>
    <s v="The Confession: A Novel John Grisham"/>
    <x v="0"/>
  </r>
  <r>
    <s v="The Constitution of the United States"/>
    <s v="Delegates of the Constitutional"/>
    <n v="4.8"/>
    <n v="2774"/>
    <n v="0"/>
    <n v="2016"/>
    <s v="Non Fiction"/>
    <s v="The Constitution of the United States Delegates of the Constitutional"/>
    <x v="0"/>
  </r>
  <r>
    <s v="The Daily Show with Jon Stewart Presents Earth (The Book): A Visitor's Guide to the Human Race"/>
    <s v="Jon Stewart"/>
    <n v="4.4000000000000004"/>
    <n v="440"/>
    <n v="11"/>
    <n v="2010"/>
    <s v="Non Fiction"/>
    <s v="The Daily Show with Jon Stewart Presents Earth (The Book): A Visitor's Guide to the Human Race Jon Stewart"/>
    <x v="0"/>
  </r>
  <r>
    <s v="The Day the Crayons Quit"/>
    <s v="Drew Daywalt"/>
    <n v="4.8"/>
    <n v="8922"/>
    <n v="9"/>
    <n v="2013"/>
    <s v="Fiction"/>
    <s v="The Day the Crayons Quit Drew Daywalt"/>
    <x v="0"/>
  </r>
  <r>
    <s v="The Dukan Diet: 2 Steps to Lose the Weight, 2 Steps to Keep It Off Forever"/>
    <s v="Pierre Dukan"/>
    <n v="4.0999999999999996"/>
    <n v="2023"/>
    <n v="15"/>
    <n v="2011"/>
    <s v="Non Fiction"/>
    <s v="The Dukan Diet: 2 Steps to Lose the Weight, 2 Steps to Keep It Off Forever Pierre Dukan"/>
    <x v="0"/>
  </r>
  <r>
    <s v="The Elegance of the Hedgehog"/>
    <s v="Muriel Barbery"/>
    <n v="4"/>
    <n v="1859"/>
    <n v="11"/>
    <n v="2009"/>
    <s v="Fiction"/>
    <s v="The Elegance of the Hedgehog Muriel Barbery"/>
    <x v="0"/>
  </r>
  <r>
    <s v="The Fault in Our Stars"/>
    <s v="John Green"/>
    <n v="4.7"/>
    <n v="50482"/>
    <n v="13"/>
    <n v="2012"/>
    <s v="Fiction"/>
    <s v="The Fault in Our Stars John Green"/>
    <x v="0"/>
  </r>
  <r>
    <s v="The Five Dysfunctions of a Team: A Leadership Fable"/>
    <s v="Patrick Lencioni"/>
    <n v="4.5999999999999996"/>
    <n v="3207"/>
    <n v="6"/>
    <n v="2009"/>
    <s v="Non Fiction"/>
    <s v="The Five Dysfunctions of a Team: A Leadership Fable Patrick Lencioni"/>
    <x v="0"/>
  </r>
  <r>
    <s v="The Five Love Languages: How to Express Heartfelt Commitment to Your Mate"/>
    <s v="Gary Chapman"/>
    <n v="4.5999999999999996"/>
    <n v="803"/>
    <n v="9"/>
    <n v="2009"/>
    <s v="Non Fiction"/>
    <s v="The Five Love Languages: How to Express Heartfelt Commitment to Your Mate Gary Chapman"/>
    <x v="0"/>
  </r>
  <r>
    <s v="The Four Agreements: A Practical Guide to Personal Freedom (A Toltec Wisdom Book)"/>
    <s v="Don Miguel Ruiz"/>
    <n v="4.7"/>
    <n v="23308"/>
    <n v="6"/>
    <n v="2013"/>
    <s v="Non Fiction"/>
    <s v="The Four Agreements: A Practical Guide to Personal Freedom (A Toltec Wisdom Book) Don Miguel Ruiz"/>
    <x v="0"/>
  </r>
  <r>
    <s v="The Getaway"/>
    <s v="Jeff Kinney"/>
    <n v="4.8"/>
    <n v="5836"/>
    <n v="0"/>
    <n v="2017"/>
    <s v="Fiction"/>
    <s v="The Getaway Jeff Kinney"/>
    <x v="0"/>
  </r>
  <r>
    <s v="The Girl on the Train"/>
    <s v="Paula Hawkins"/>
    <n v="4.0999999999999996"/>
    <n v="79446"/>
    <n v="18"/>
    <n v="2015"/>
    <s v="Fiction"/>
    <s v="The Girl on the Train Paula Hawkins"/>
    <x v="0"/>
  </r>
  <r>
    <s v="The Girl Who Kicked the Hornet's Nest (Millennium Trilogy)"/>
    <s v="Stieg Larsson"/>
    <n v="4.7"/>
    <n v="7747"/>
    <n v="14"/>
    <n v="2010"/>
    <s v="Fiction"/>
    <s v="The Girl Who Kicked the Hornet's Nest (Millennium Trilogy) Stieg Larsson"/>
    <x v="0"/>
  </r>
  <r>
    <s v="The Girl Who Played with Fire (Millennium Series)"/>
    <s v="Stieg Larsson"/>
    <n v="4.7"/>
    <n v="7251"/>
    <n v="9"/>
    <n v="2010"/>
    <s v="Fiction"/>
    <s v="The Girl Who Played with Fire (Millennium Series) Stieg Larsson"/>
    <x v="0"/>
  </r>
  <r>
    <s v="The Girl Who Played with Fire (Millennium)"/>
    <s v="Stieg Larsson"/>
    <n v="4.7"/>
    <n v="7251"/>
    <n v="16"/>
    <n v="2009"/>
    <s v="Fiction"/>
    <s v="The Girl Who Played with Fire (Millennium) Stieg Larsson"/>
    <x v="0"/>
  </r>
  <r>
    <s v="The Girl with the Dragon Tattoo (Millennium Series)"/>
    <s v="Stieg Larsson"/>
    <n v="4.4000000000000004"/>
    <n v="10559"/>
    <n v="2"/>
    <n v="2009"/>
    <s v="Fiction"/>
    <s v="The Girl with the Dragon Tattoo (Millennium Series) Stieg Larsson"/>
    <x v="0"/>
  </r>
  <r>
    <s v="The Going-To-Bed Book"/>
    <s v="Sandra Boynton"/>
    <n v="4.8"/>
    <n v="5249"/>
    <n v="5"/>
    <n v="2016"/>
    <s v="Fiction"/>
    <s v="The Going-To-Bed Book Sandra Boynton"/>
    <x v="0"/>
  </r>
  <r>
    <s v="The Goldfinch: A Novel (Pulitzer Prize for Fiction)"/>
    <s v="Donna Tartt"/>
    <n v="3.9"/>
    <n v="33844"/>
    <n v="20"/>
    <n v="2013"/>
    <s v="Fiction"/>
    <s v="The Goldfinch: A Novel (Pulitzer Prize for Fiction) Donna Tartt"/>
    <x v="0"/>
  </r>
  <r>
    <s v="The Great Gatsby"/>
    <s v="F. Scott Fitzgerald"/>
    <n v="4.4000000000000004"/>
    <n v="11616"/>
    <n v="7"/>
    <n v="2012"/>
    <s v="Fiction"/>
    <s v="The Great Gatsby F. Scott Fitzgerald"/>
    <x v="0"/>
  </r>
  <r>
    <s v="The Guardians: A Novel"/>
    <s v="John Grisham"/>
    <n v="4.5"/>
    <n v="13609"/>
    <n v="14"/>
    <n v="2019"/>
    <s v="Fiction"/>
    <s v="The Guardians: A Novel John Grisham"/>
    <x v="0"/>
  </r>
  <r>
    <s v="The Guernsey Literary and Potato Peel Pie Society"/>
    <s v="Mary Ann Shaffer"/>
    <n v="4.7"/>
    <n v="8587"/>
    <n v="10"/>
    <n v="2009"/>
    <s v="Fiction"/>
    <s v="The Guernsey Literary and Potato Peel Pie Society Mary Ann Shaffer"/>
    <x v="0"/>
  </r>
  <r>
    <s v="The Handmaid's Tale"/>
    <s v="Margaret Atwood"/>
    <n v="4.3"/>
    <n v="29442"/>
    <n v="7"/>
    <n v="2017"/>
    <s v="Fiction"/>
    <s v="The Handmaid's Tale Margaret Atwood"/>
    <x v="0"/>
  </r>
  <r>
    <s v="The Harbinger: The Ancient Mystery that Holds the Secret of America's Future"/>
    <s v="Jonathan Cahn"/>
    <n v="4.5999999999999996"/>
    <n v="11098"/>
    <n v="13"/>
    <n v="2012"/>
    <s v="Fiction"/>
    <s v="The Harbinger: The Ancient Mystery that Holds the Secret of America's Future Jonathan Cahn"/>
    <x v="0"/>
  </r>
  <r>
    <s v="The Hate U Give"/>
    <s v="Angie Thomas"/>
    <n v="4.8"/>
    <n v="9947"/>
    <n v="11"/>
    <n v="2018"/>
    <s v="Fiction"/>
    <s v="The Hate U Give Angie Thomas"/>
    <x v="0"/>
  </r>
  <r>
    <s v="The Help"/>
    <s v="Kathryn Stockett"/>
    <n v="4.8"/>
    <n v="13871"/>
    <n v="6"/>
    <n v="2009"/>
    <s v="Fiction"/>
    <s v="The Help Kathryn Stockett"/>
    <x v="0"/>
  </r>
  <r>
    <s v="The House of Hades (Heroes of Olympus, Book 4)"/>
    <s v="Rick Riordan"/>
    <n v="4.8"/>
    <n v="6982"/>
    <n v="14"/>
    <n v="2013"/>
    <s v="Fiction"/>
    <s v="The House of Hades (Heroes of Olympus, Book 4) Rick Riordan"/>
    <x v="0"/>
  </r>
  <r>
    <s v="The Hunger Games"/>
    <s v="Suzanne Collins"/>
    <n v="4.7"/>
    <n v="32122"/>
    <n v="14"/>
    <n v="2010"/>
    <s v="Fiction"/>
    <s v="The Hunger Games Suzanne Collins"/>
    <x v="0"/>
  </r>
  <r>
    <s v="The Hunger Games (Book 1)"/>
    <s v="Suzanne Collins"/>
    <n v="4.7"/>
    <n v="32122"/>
    <n v="8"/>
    <n v="2011"/>
    <s v="Fiction"/>
    <s v="The Hunger Games (Book 1) Suzanne Collins"/>
    <x v="0"/>
  </r>
  <r>
    <s v="The Hunger Games Trilogy Boxed Set (1)"/>
    <s v="Suzanne Collins"/>
    <n v="4.8"/>
    <n v="16949"/>
    <n v="30"/>
    <n v="2011"/>
    <s v="Fiction"/>
    <s v="The Hunger Games Trilogy Boxed Set (1) Suzanne Collins"/>
    <x v="0"/>
  </r>
  <r>
    <s v="The Immortal Life of Henrietta Lacks"/>
    <s v="Rebecca Skloot"/>
    <n v="4.7"/>
    <n v="9289"/>
    <n v="13"/>
    <n v="2010"/>
    <s v="Non Fiction"/>
    <s v="The Immortal Life of Henrietta Lacks Rebecca Skloot"/>
    <x v="0"/>
  </r>
  <r>
    <s v="The Instant Pot Electric Pressure Cooker Cookbook: Easy Recipes for Fast &amp; Healthy Meals"/>
    <s v="Laurel Randolph"/>
    <n v="4.3"/>
    <n v="7368"/>
    <n v="7"/>
    <n v="2017"/>
    <s v="Non Fiction"/>
    <s v="The Instant Pot Electric Pressure Cooker Cookbook: Easy Recipes for Fast &amp; Healthy Meals Laurel Randolph"/>
    <x v="0"/>
  </r>
  <r>
    <s v="The Last Lecture"/>
    <s v="Randy Pausch"/>
    <n v="4.7"/>
    <n v="4028"/>
    <n v="9"/>
    <n v="2009"/>
    <s v="Non Fiction"/>
    <s v="The Last Lecture Randy Pausch"/>
    <x v="0"/>
  </r>
  <r>
    <s v="The Last Olympian (Percy Jackson and the Olympians, Book 5)"/>
    <s v="Rick Riordan"/>
    <n v="4.8"/>
    <n v="4628"/>
    <n v="7"/>
    <n v="2009"/>
    <s v="Fiction"/>
    <s v="The Last Olympian (Percy Jackson and the Olympians, Book 5) Rick Riordan"/>
    <x v="0"/>
  </r>
  <r>
    <s v="The Legend of Zelda: Hyrule Historia"/>
    <s v="Patrick Thorpe"/>
    <n v="4.9000000000000004"/>
    <n v="5396"/>
    <n v="20"/>
    <n v="2013"/>
    <s v="Fiction"/>
    <s v="The Legend of Zelda: Hyrule Historia Patrick Thorpe"/>
    <x v="0"/>
  </r>
  <r>
    <s v="The Lego Ideas Book: Unlock Your Imagination"/>
    <s v="Daniel Lipkowitz"/>
    <n v="4.4000000000000004"/>
    <n v="4247"/>
    <n v="13"/>
    <n v="2011"/>
    <s v="Non Fiction"/>
    <s v="The Lego Ideas Book: Unlock Your Imagination Daniel Lipkowitz"/>
    <x v="0"/>
  </r>
  <r>
    <s v="The Life-Changing Magic of Tidying Up: The Japanese Art of Decluttering and Organizing"/>
    <s v="Marie Kondō"/>
    <n v="4.5"/>
    <n v="22641"/>
    <n v="11"/>
    <n v="2015"/>
    <s v="Non Fiction"/>
    <s v="The Life-Changing Magic of Tidying Up: The Japanese Art of Decluttering and Organizing Marie Kondō"/>
    <x v="0"/>
  </r>
  <r>
    <s v="The Litigators"/>
    <s v="John Grisham"/>
    <n v="4.4000000000000004"/>
    <n v="6222"/>
    <n v="18"/>
    <n v="2011"/>
    <s v="Fiction"/>
    <s v="The Litigators John Grisham"/>
    <x v="0"/>
  </r>
  <r>
    <s v="The Lost Hero (Heroes of Olympus, Book 1)"/>
    <s v="Rick Riordan"/>
    <n v="4.8"/>
    <n v="4506"/>
    <n v="14"/>
    <n v="2010"/>
    <s v="Fiction"/>
    <s v="The Lost Hero (Heroes of Olympus, Book 1) Rick Riordan"/>
    <x v="0"/>
  </r>
  <r>
    <s v="The Lost Symbol"/>
    <s v="Dan Brown"/>
    <n v="4.2"/>
    <n v="8747"/>
    <n v="19"/>
    <n v="2009"/>
    <s v="Fiction"/>
    <s v="The Lost Symbol Dan Brown"/>
    <x v="0"/>
  </r>
  <r>
    <s v="The Love Dare"/>
    <s v="Stephen Kendrick"/>
    <n v="4.8"/>
    <n v="1655"/>
    <n v="13"/>
    <n v="2009"/>
    <s v="Non Fiction"/>
    <s v="The Love Dare Stephen Kendrick"/>
    <x v="0"/>
  </r>
  <r>
    <s v="The Magnolia Story"/>
    <s v="Chip Gaines"/>
    <n v="4.9000000000000004"/>
    <n v="7861"/>
    <n v="5"/>
    <n v="2016"/>
    <s v="Non Fiction"/>
    <s v="The Magnolia Story Chip Gaines"/>
    <x v="0"/>
  </r>
  <r>
    <s v="The Mark of Athena (Heroes of Olympus, Book 3)"/>
    <s v="Rick Riordan"/>
    <n v="4.8"/>
    <n v="6247"/>
    <n v="10"/>
    <n v="2012"/>
    <s v="Fiction"/>
    <s v="The Mark of Athena (Heroes of Olympus, Book 3) Rick Riordan"/>
    <x v="0"/>
  </r>
  <r>
    <s v="The Martian"/>
    <s v="Andy Weir"/>
    <n v="4.7"/>
    <n v="39459"/>
    <n v="9"/>
    <n v="2015"/>
    <s v="Fiction"/>
    <s v="The Martian Andy Weir"/>
    <x v="0"/>
  </r>
  <r>
    <s v="The Maze Runner (Book 1)"/>
    <s v="James Dashner"/>
    <n v="4.5"/>
    <n v="10101"/>
    <n v="8"/>
    <n v="2014"/>
    <s v="Fiction"/>
    <s v="The Maze Runner (Book 1) James Dashner"/>
    <x v="0"/>
  </r>
  <r>
    <s v="The Meltdown (Diary of a Wimpy Kid Book 13)"/>
    <s v="Jeff Kinney"/>
    <n v="4.8"/>
    <n v="5898"/>
    <n v="8"/>
    <n v="2018"/>
    <s v="Fiction"/>
    <s v="The Meltdown (Diary of a Wimpy Kid Book 13) Jeff Kinney"/>
    <x v="0"/>
  </r>
  <r>
    <s v="The Mueller Report"/>
    <s v="The Washington Post"/>
    <n v="4.5999999999999996"/>
    <n v="2744"/>
    <n v="12"/>
    <n v="2019"/>
    <s v="Non Fiction"/>
    <s v="The Mueller Report The Washington Post"/>
    <x v="0"/>
  </r>
  <r>
    <s v="The Nightingale: A Novel"/>
    <s v="Kristin Hannah"/>
    <n v="4.8"/>
    <n v="49288"/>
    <n v="11"/>
    <n v="2015"/>
    <s v="Fiction"/>
    <s v="The Nightingale: A Novel Kristin Hannah"/>
    <x v="0"/>
  </r>
  <r>
    <s v="The Official SAT Study Guide"/>
    <s v="The College Board"/>
    <n v="4.4000000000000004"/>
    <n v="1201"/>
    <n v="40"/>
    <n v="2010"/>
    <s v="Non Fiction"/>
    <s v="The Official SAT Study Guide The College Board"/>
    <x v="2"/>
  </r>
  <r>
    <s v="The Official SAT Study Guide, 2016 Edition (Official Study Guide for the New Sat)"/>
    <s v="The College Board"/>
    <n v="4.3"/>
    <n v="807"/>
    <n v="36"/>
    <n v="2016"/>
    <s v="Non Fiction"/>
    <s v="The Official SAT Study Guide, 2016 Edition (Official Study Guide for the New Sat) The College Board"/>
    <x v="2"/>
  </r>
  <r>
    <s v="The Paris Wife: A Novel"/>
    <s v="Paula McLain"/>
    <n v="4.3"/>
    <n v="3759"/>
    <n v="16"/>
    <n v="2011"/>
    <s v="Fiction"/>
    <s v="The Paris Wife: A Novel Paula McLain"/>
    <x v="0"/>
  </r>
  <r>
    <s v="The Pioneer Woman Cooks: A Year of Holidays: 140 Step-by-Step Recipes for Simple, Scrumptious Celebrations"/>
    <s v="Ree Drummond"/>
    <n v="4.8"/>
    <n v="2663"/>
    <n v="17"/>
    <n v="2013"/>
    <s v="Non Fiction"/>
    <s v="The Pioneer Woman Cooks: A Year of Holidays: 140 Step-by-Step Recipes for Simple, Scrumptious Celebrations Ree Drummond"/>
    <x v="0"/>
  </r>
  <r>
    <s v="The Pioneer Woman Cooks: Dinnertime - Comfort Classics, Freezer Food, 16-minute Meals, and Other Delicious Ways to Solve…"/>
    <s v="Ree Drummond"/>
    <n v="4.8"/>
    <n v="3428"/>
    <n v="14"/>
    <n v="2015"/>
    <s v="Non Fiction"/>
    <s v="The Pioneer Woman Cooks: Dinnertime - Comfort Classics, Freezer Food, 16-minute Meals, and Other Delicious Ways to Solve… Ree Drummond"/>
    <x v="0"/>
  </r>
  <r>
    <s v="The Pioneer Woman Cooks: Food from My Frontier"/>
    <s v="Ree Drummond"/>
    <n v="4.8"/>
    <n v="2876"/>
    <n v="21"/>
    <n v="2012"/>
    <s v="Non Fiction"/>
    <s v="The Pioneer Woman Cooks: Food from My Frontier Ree Drummond"/>
    <x v="0"/>
  </r>
  <r>
    <s v="The Plant Paradox Cookbook: 100 Delicious Recipes to Help You Lose Weight, Heal Your Gut, and Live Lectin-Free"/>
    <s v="Dr. Steven R Gundry MD"/>
    <n v="4.5"/>
    <n v="3601"/>
    <n v="18"/>
    <n v="2018"/>
    <s v="Non Fiction"/>
    <s v="The Plant Paradox Cookbook: 100 Delicious Recipes to Help You Lose Weight, Heal Your Gut, and Live Lectin-Free Dr. Steven R Gundry MD"/>
    <x v="0"/>
  </r>
  <r>
    <s v="The Plant Paradox: The Hidden Dangers in &quot;Healthy&quot; Foods That Cause Disease and Weight Gain"/>
    <s v="Dr. Steven R Gundry MD"/>
    <n v="4.4000000000000004"/>
    <n v="7058"/>
    <n v="17"/>
    <n v="2018"/>
    <s v="Non Fiction"/>
    <s v="The Plant Paradox: The Hidden Dangers in &quot;Healthy&quot; Foods That Cause Disease and Weight Gain Dr. Steven R Gundry MD"/>
    <x v="0"/>
  </r>
  <r>
    <s v="The Pout-Pout Fish"/>
    <s v="Deborah Diesen"/>
    <n v="4.8"/>
    <n v="9784"/>
    <n v="5"/>
    <n v="2017"/>
    <s v="Fiction"/>
    <s v="The Pout-Pout Fish Deborah Diesen"/>
    <x v="0"/>
  </r>
  <r>
    <s v="The Power of Habit: Why We Do What We Do in Life and Business"/>
    <s v="Charles Duhigg"/>
    <n v="4.5999999999999996"/>
    <n v="10795"/>
    <n v="21"/>
    <n v="2012"/>
    <s v="Non Fiction"/>
    <s v="The Power of Habit: Why We Do What We Do in Life and Business Charles Duhigg"/>
    <x v="0"/>
  </r>
  <r>
    <s v="The President Is Missing: A Novel"/>
    <s v="James Patterson"/>
    <n v="4.3"/>
    <n v="10191"/>
    <n v="18"/>
    <n v="2018"/>
    <s v="Fiction"/>
    <s v="The President Is Missing: A Novel James Patterson"/>
    <x v="0"/>
  </r>
  <r>
    <s v="The Racketeer"/>
    <s v="John Grisham"/>
    <n v="4.3"/>
    <n v="14493"/>
    <n v="18"/>
    <n v="2012"/>
    <s v="Fiction"/>
    <s v="The Racketeer John Grisham"/>
    <x v="0"/>
  </r>
  <r>
    <s v="The Red Pyramid (The Kane Chronicles, Book 1)"/>
    <s v="Rick Riordan"/>
    <n v="4.5999999999999996"/>
    <n v="2186"/>
    <n v="12"/>
    <n v="2010"/>
    <s v="Fiction"/>
    <s v="The Red Pyramid (The Kane Chronicles, Book 1) Rick Riordan"/>
    <x v="0"/>
  </r>
  <r>
    <s v="The Road to Serfdom: Text and Documents--The Definitive Edition (The Collected Works of F. A. Hayek, Volume 2)"/>
    <s v="F. A. Hayek"/>
    <n v="4.5999999999999996"/>
    <n v="1204"/>
    <n v="14"/>
    <n v="2010"/>
    <s v="Non Fiction"/>
    <s v="The Road to Serfdom: Text and Documents--The Definitive Edition (The Collected Works of F. A. Hayek, Volume 2) F. A. Hayek"/>
    <x v="0"/>
  </r>
  <r>
    <s v="The Serpent's Shadow (The Kane Chronicles, Book 3)"/>
    <s v="Rick Riordan"/>
    <n v="4.8"/>
    <n v="2091"/>
    <n v="12"/>
    <n v="2012"/>
    <s v="Fiction"/>
    <s v="The Serpent's Shadow (The Kane Chronicles, Book 3) Rick Riordan"/>
    <x v="0"/>
  </r>
  <r>
    <s v="The Shack: Where Tragedy Confronts Eternity"/>
    <s v="William P. Young"/>
    <n v="4.5999999999999996"/>
    <n v="19720"/>
    <n v="8"/>
    <n v="2009"/>
    <s v="Fiction"/>
    <s v="The Shack: Where Tragedy Confronts Eternity William P. Young"/>
    <x v="0"/>
  </r>
  <r>
    <s v="The Short Second Life of Bree Tanner: An Eclipse Novella (The Twilight Saga)"/>
    <s v="Stephenie Meyer"/>
    <n v="4.5999999999999996"/>
    <n v="2122"/>
    <n v="0"/>
    <n v="2010"/>
    <s v="Fiction"/>
    <s v="The Short Second Life of Bree Tanner: An Eclipse Novella (The Twilight Saga) Stephenie Meyer"/>
    <x v="0"/>
  </r>
  <r>
    <s v="The Silent Patient"/>
    <s v="Alex Michaelides"/>
    <n v="4.5"/>
    <n v="27536"/>
    <n v="14"/>
    <n v="2019"/>
    <s v="Fiction"/>
    <s v="The Silent Patient Alex Michaelides"/>
    <x v="0"/>
  </r>
  <r>
    <s v="The Son of Neptune (Heroes of Olympus, Book 2)"/>
    <s v="Rick Riordan"/>
    <n v="4.8"/>
    <n v="4290"/>
    <n v="10"/>
    <n v="2011"/>
    <s v="Fiction"/>
    <s v="The Son of Neptune (Heroes of Olympus, Book 2) Rick Riordan"/>
    <x v="0"/>
  </r>
  <r>
    <s v="The Subtle Art of Not Giving a F*ck: A Counterintuitive Approach to Living a Good Life"/>
    <s v="Mark Manson"/>
    <n v="4.5999999999999996"/>
    <n v="26490"/>
    <n v="15"/>
    <n v="2017"/>
    <s v="Non Fiction"/>
    <s v="The Subtle Art of Not Giving a F*ck: A Counterintuitive Approach to Living a Good Life Mark Manson"/>
    <x v="0"/>
  </r>
  <r>
    <s v="The Sun and Her Flowers"/>
    <s v="Rupi Kaur"/>
    <n v="4.7"/>
    <n v="5487"/>
    <n v="9"/>
    <n v="2017"/>
    <s v="Non Fiction"/>
    <s v="The Sun and Her Flowers Rupi Kaur"/>
    <x v="0"/>
  </r>
  <r>
    <s v="The Third Wheel (Diary of a Wimpy Kid, Book 7)"/>
    <s v="Jeff Kinney"/>
    <n v="4.7"/>
    <n v="6377"/>
    <n v="7"/>
    <n v="2012"/>
    <s v="Fiction"/>
    <s v="The Third Wheel (Diary of a Wimpy Kid, Book 7) Jeff Kinney"/>
    <x v="0"/>
  </r>
  <r>
    <s v="The Throne of Fire (The Kane Chronicles, Book 2)"/>
    <s v="Rick Riordan"/>
    <n v="4.7"/>
    <n v="1463"/>
    <n v="10"/>
    <n v="2011"/>
    <s v="Fiction"/>
    <s v="The Throne of Fire (The Kane Chronicles, Book 2) Rick Riordan"/>
    <x v="0"/>
  </r>
  <r>
    <s v="The Time Traveler's Wife"/>
    <s v="Audrey Niffenegger"/>
    <n v="4.4000000000000004"/>
    <n v="3759"/>
    <n v="6"/>
    <n v="2009"/>
    <s v="Fiction"/>
    <s v="The Time Traveler's Wife Audrey Niffenegger"/>
    <x v="0"/>
  </r>
  <r>
    <s v="The Tipping Point: How Little Things Can Make a Big Difference"/>
    <s v="Malcolm Gladwell"/>
    <n v="4.4000000000000004"/>
    <n v="3503"/>
    <n v="9"/>
    <n v="2009"/>
    <s v="Non Fiction"/>
    <s v="The Tipping Point: How Little Things Can Make a Big Difference Malcolm Gladwell"/>
    <x v="0"/>
  </r>
  <r>
    <s v="The Total Money Makeover: Classic Edition: A Proven Plan for Financial Fitness"/>
    <s v="Dave Ramsey"/>
    <n v="4.7"/>
    <n v="11550"/>
    <n v="10"/>
    <n v="2019"/>
    <s v="Non Fiction"/>
    <s v="The Total Money Makeover: Classic Edition: A Proven Plan for Financial Fitness Dave Ramsey"/>
    <x v="0"/>
  </r>
  <r>
    <s v="The Twilight Saga Collection"/>
    <s v="Stephenie Meyer"/>
    <n v="4.7"/>
    <n v="3801"/>
    <n v="82"/>
    <n v="2009"/>
    <s v="Fiction"/>
    <s v="The Twilight Saga Collection Stephenie Meyer"/>
    <x v="1"/>
  </r>
  <r>
    <s v="The Ugly Truth (Diary of a Wimpy Kid, Book 5)"/>
    <s v="Jeff Kinney"/>
    <n v="4.8"/>
    <n v="3796"/>
    <n v="12"/>
    <n v="2010"/>
    <s v="Fiction"/>
    <s v="The Ugly Truth (Diary of a Wimpy Kid, Book 5) Jeff Kinney"/>
    <x v="0"/>
  </r>
  <r>
    <s v="The Unofficial Harry Potter Cookbook: From Cauldron Cakes to Knickerbocker Glory--More Than 150 Magical Recipes for…"/>
    <s v="Dinah Bucholz"/>
    <n v="4.7"/>
    <n v="9030"/>
    <n v="10"/>
    <n v="2019"/>
    <s v="Non Fiction"/>
    <s v="The Unofficial Harry Potter Cookbook: From Cauldron Cakes to Knickerbocker Glory--More Than 150 Magical Recipes for… Dinah Bucholz"/>
    <x v="0"/>
  </r>
  <r>
    <s v="The Very Hungry Caterpillar"/>
    <s v="Eric Carle"/>
    <n v="4.9000000000000004"/>
    <n v="19546"/>
    <n v="5"/>
    <n v="2013"/>
    <s v="Fiction"/>
    <s v="The Very Hungry Caterpillar Eric Carle"/>
    <x v="0"/>
  </r>
  <r>
    <s v="The Whole30: The 30-Day Guide to Total Health and Food Freedom"/>
    <s v="Melissa Hartwig Urban"/>
    <n v="4.5999999999999996"/>
    <n v="7508"/>
    <n v="16"/>
    <n v="2015"/>
    <s v="Non Fiction"/>
    <s v="The Whole30: The 30-Day Guide to Total Health and Food Freedom Melissa Hartwig Urban"/>
    <x v="0"/>
  </r>
  <r>
    <s v="The Wonderful Things You Will Be"/>
    <s v="Emily Winfield Martin"/>
    <n v="4.9000000000000004"/>
    <n v="8842"/>
    <n v="10"/>
    <n v="2016"/>
    <s v="Fiction"/>
    <s v="The Wonderful Things You Will Be Emily Winfield Martin"/>
    <x v="0"/>
  </r>
  <r>
    <s v="Promedio"/>
    <m/>
    <n v="4.6060897435897408"/>
    <m/>
    <n v="13.028846153846153"/>
    <m/>
    <m/>
    <m/>
    <x v="3"/>
  </r>
  <r>
    <s v="Desviación"/>
    <m/>
    <n v="0.23106796013835049"/>
    <m/>
    <n v="10.344814814216537"/>
    <m/>
    <m/>
    <m/>
    <x v="3"/>
  </r>
  <r>
    <s v="Min"/>
    <m/>
    <n v="3.3"/>
    <m/>
    <n v="0"/>
    <m/>
    <m/>
    <m/>
    <x v="3"/>
  </r>
  <r>
    <s v="Max"/>
    <m/>
    <n v="4.9000000000000004"/>
    <m/>
    <n v="105"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7A13-0352-44A6-9C66-595CF2A2D5C8}" name="TablaDinámica3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rowHeaderCaption="Rango de precios">
  <location ref="A3:B7" firstHeaderRow="1" firstDataRow="1" firstDataCol="1"/>
  <pivotFields count="9"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h="1" x="3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Promedio de User Rating" fld="2" subtotal="average" baseField="8" baseItem="0" numFmtId="2"/>
  </dataFields>
  <formats count="1">
    <format dxfId="1">
      <pivotArea outline="0" collapsedLevelsAreSubtotals="1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2D0F0-C6A0-47A5-8A0A-EE68EB242CA7}">
  <dimension ref="A3:B7"/>
  <sheetViews>
    <sheetView tabSelected="1" workbookViewId="0">
      <selection activeCell="B14" sqref="B14"/>
    </sheetView>
  </sheetViews>
  <sheetFormatPr baseColWidth="10" defaultRowHeight="15" x14ac:dyDescent="0.25"/>
  <cols>
    <col min="1" max="1" width="18.42578125" bestFit="1" customWidth="1"/>
    <col min="2" max="2" width="23.140625" bestFit="1" customWidth="1"/>
  </cols>
  <sheetData>
    <row r="3" spans="1:2" x14ac:dyDescent="0.25">
      <c r="A3" s="9" t="s">
        <v>578</v>
      </c>
      <c r="B3" s="10" t="s">
        <v>577</v>
      </c>
    </row>
    <row r="4" spans="1:2" x14ac:dyDescent="0.25">
      <c r="A4" s="11" t="s">
        <v>573</v>
      </c>
      <c r="B4" s="14">
        <v>4.5999999999999996</v>
      </c>
    </row>
    <row r="5" spans="1:2" x14ac:dyDescent="0.25">
      <c r="A5" s="12" t="s">
        <v>574</v>
      </c>
      <c r="B5" s="15">
        <v>4.6059405940594038</v>
      </c>
    </row>
    <row r="6" spans="1:2" x14ac:dyDescent="0.25">
      <c r="A6" s="12" t="s">
        <v>575</v>
      </c>
      <c r="B6" s="15">
        <v>4.6142857142857139</v>
      </c>
    </row>
    <row r="7" spans="1:2" x14ac:dyDescent="0.25">
      <c r="A7" s="13" t="s">
        <v>576</v>
      </c>
      <c r="B7" s="16">
        <v>4.6060897435897408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318"/>
  <sheetViews>
    <sheetView topLeftCell="A2" workbookViewId="0">
      <selection activeCell="A2" sqref="A2:I318"/>
    </sheetView>
  </sheetViews>
  <sheetFormatPr baseColWidth="10" defaultColWidth="9.140625" defaultRowHeight="15" x14ac:dyDescent="0.25"/>
  <cols>
    <col min="3" max="3" width="11.85546875" bestFit="1" customWidth="1"/>
  </cols>
  <sheetData>
    <row r="1" spans="1:9" x14ac:dyDescent="0.25">
      <c r="C1" t="s">
        <v>542</v>
      </c>
      <c r="E1" t="s">
        <v>541</v>
      </c>
    </row>
    <row r="2" spans="1:9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540</v>
      </c>
      <c r="I2" s="8" t="s">
        <v>572</v>
      </c>
    </row>
    <row r="3" spans="1:9" hidden="1" x14ac:dyDescent="0.25">
      <c r="A3" t="s">
        <v>7</v>
      </c>
      <c r="B3" t="s">
        <v>8</v>
      </c>
      <c r="C3">
        <v>4.7</v>
      </c>
      <c r="D3">
        <v>17350</v>
      </c>
      <c r="E3">
        <v>8</v>
      </c>
      <c r="F3">
        <v>2016</v>
      </c>
      <c r="G3" t="s">
        <v>9</v>
      </c>
      <c r="H3" t="str">
        <f>+CONCATENATE(A3," ",B3)</f>
        <v>10-Day Green Smoothie Cleanse JJ Smith</v>
      </c>
      <c r="I3" t="str">
        <f>+IF(E3&lt;=35,"Bajo",IF(E3&lt;=70,"Medio","Alto"))</f>
        <v>Bajo</v>
      </c>
    </row>
    <row r="4" spans="1:9" hidden="1" x14ac:dyDescent="0.25">
      <c r="A4" t="s">
        <v>10</v>
      </c>
      <c r="B4" t="s">
        <v>11</v>
      </c>
      <c r="C4">
        <v>4.5999999999999996</v>
      </c>
      <c r="D4">
        <v>2052</v>
      </c>
      <c r="E4">
        <v>22</v>
      </c>
      <c r="F4">
        <v>2011</v>
      </c>
      <c r="G4" t="s">
        <v>12</v>
      </c>
      <c r="H4" t="str">
        <f>+CONCATENATE(A4," ",B4)</f>
        <v>11/22/63: A Novel Stephen King</v>
      </c>
      <c r="I4" t="str">
        <f t="shared" ref="I4:I67" si="0">+IF(E4&lt;=35,"Bajo",IF(E4&lt;=70,"Medio","Alto"))</f>
        <v>Bajo</v>
      </c>
    </row>
    <row r="5" spans="1:9" hidden="1" x14ac:dyDescent="0.25">
      <c r="A5" t="s">
        <v>13</v>
      </c>
      <c r="B5" t="s">
        <v>14</v>
      </c>
      <c r="C5">
        <v>4.7</v>
      </c>
      <c r="D5">
        <v>18979</v>
      </c>
      <c r="E5">
        <v>15</v>
      </c>
      <c r="F5">
        <v>2018</v>
      </c>
      <c r="G5" t="s">
        <v>9</v>
      </c>
      <c r="H5" t="str">
        <f>+CONCATENATE(A5," ",B5)</f>
        <v>12 Rules for Life: An Antidote to Chaos Jordan B. Peterson</v>
      </c>
      <c r="I5" t="str">
        <f t="shared" si="0"/>
        <v>Bajo</v>
      </c>
    </row>
    <row r="6" spans="1:9" hidden="1" x14ac:dyDescent="0.25">
      <c r="A6" t="s">
        <v>15</v>
      </c>
      <c r="B6" t="s">
        <v>16</v>
      </c>
      <c r="C6">
        <v>4.7</v>
      </c>
      <c r="D6">
        <v>21424</v>
      </c>
      <c r="E6">
        <v>6</v>
      </c>
      <c r="F6">
        <v>2017</v>
      </c>
      <c r="G6" t="s">
        <v>12</v>
      </c>
      <c r="H6" t="str">
        <f>+CONCATENATE(A6," ",B6)</f>
        <v>1984 (Signet Classics) George Orwell</v>
      </c>
      <c r="I6" t="str">
        <f t="shared" si="0"/>
        <v>Bajo</v>
      </c>
    </row>
    <row r="7" spans="1:9" hidden="1" x14ac:dyDescent="0.25">
      <c r="A7" t="s">
        <v>17</v>
      </c>
      <c r="B7" t="s">
        <v>18</v>
      </c>
      <c r="C7">
        <v>4.8</v>
      </c>
      <c r="D7">
        <v>7665</v>
      </c>
      <c r="E7">
        <v>12</v>
      </c>
      <c r="F7">
        <v>2019</v>
      </c>
      <c r="G7" t="s">
        <v>9</v>
      </c>
      <c r="H7" t="str">
        <f>+CONCATENATE(A7," ",B7)</f>
        <v>5,000 Awesome Facts (About Everything!) (National Geographic Kids) National Geographic Kids</v>
      </c>
      <c r="I7" t="str">
        <f t="shared" si="0"/>
        <v>Bajo</v>
      </c>
    </row>
    <row r="8" spans="1:9" hidden="1" x14ac:dyDescent="0.25">
      <c r="A8" t="s">
        <v>19</v>
      </c>
      <c r="B8" t="s">
        <v>20</v>
      </c>
      <c r="C8">
        <v>4.4000000000000004</v>
      </c>
      <c r="D8">
        <v>12643</v>
      </c>
      <c r="E8">
        <v>11</v>
      </c>
      <c r="F8">
        <v>2011</v>
      </c>
      <c r="G8" t="s">
        <v>12</v>
      </c>
      <c r="H8" t="str">
        <f>+CONCATENATE(A8," ",B8)</f>
        <v>A Dance with Dragons (A Song of Ice and Fire) George R. R. Martin</v>
      </c>
      <c r="I8" t="str">
        <f t="shared" si="0"/>
        <v>Bajo</v>
      </c>
    </row>
    <row r="9" spans="1:9" hidden="1" x14ac:dyDescent="0.25">
      <c r="A9" t="s">
        <v>21</v>
      </c>
      <c r="B9" t="s">
        <v>20</v>
      </c>
      <c r="C9">
        <v>4.7</v>
      </c>
      <c r="D9">
        <v>19735</v>
      </c>
      <c r="E9">
        <v>30</v>
      </c>
      <c r="F9">
        <v>2014</v>
      </c>
      <c r="G9" t="s">
        <v>12</v>
      </c>
      <c r="H9" t="str">
        <f>+CONCATENATE(A9," ",B9)</f>
        <v>A Game of Thrones / A Clash of Kings / A Storm of Swords / A Feast of Crows / A Dance with Dragons George R. R. Martin</v>
      </c>
      <c r="I9" t="str">
        <f t="shared" si="0"/>
        <v>Bajo</v>
      </c>
    </row>
    <row r="10" spans="1:9" hidden="1" x14ac:dyDescent="0.25">
      <c r="A10" t="s">
        <v>22</v>
      </c>
      <c r="B10" t="s">
        <v>23</v>
      </c>
      <c r="C10">
        <v>4.7</v>
      </c>
      <c r="D10">
        <v>19699</v>
      </c>
      <c r="E10">
        <v>15</v>
      </c>
      <c r="F10">
        <v>2017</v>
      </c>
      <c r="G10" t="s">
        <v>12</v>
      </c>
      <c r="H10" t="str">
        <f>+CONCATENATE(A10," ",B10)</f>
        <v>A Gentleman in Moscow: A Novel Amor Towles</v>
      </c>
      <c r="I10" t="str">
        <f t="shared" si="0"/>
        <v>Bajo</v>
      </c>
    </row>
    <row r="11" spans="1:9" hidden="1" x14ac:dyDescent="0.25">
      <c r="A11" t="s">
        <v>24</v>
      </c>
      <c r="B11" t="s">
        <v>25</v>
      </c>
      <c r="C11">
        <v>4.7</v>
      </c>
      <c r="D11">
        <v>5983</v>
      </c>
      <c r="E11">
        <v>3</v>
      </c>
      <c r="F11">
        <v>2018</v>
      </c>
      <c r="G11" t="s">
        <v>9</v>
      </c>
      <c r="H11" t="str">
        <f>+CONCATENATE(A11," ",B11)</f>
        <v>A Higher Loyalty: Truth, Lies, and Leadership James Comey</v>
      </c>
      <c r="I11" t="str">
        <f t="shared" si="0"/>
        <v>Bajo</v>
      </c>
    </row>
    <row r="12" spans="1:9" hidden="1" x14ac:dyDescent="0.25">
      <c r="A12" t="s">
        <v>26</v>
      </c>
      <c r="B12" t="s">
        <v>27</v>
      </c>
      <c r="C12">
        <v>4.5999999999999996</v>
      </c>
      <c r="D12">
        <v>23848</v>
      </c>
      <c r="E12">
        <v>8</v>
      </c>
      <c r="F12">
        <v>2016</v>
      </c>
      <c r="G12" t="s">
        <v>12</v>
      </c>
      <c r="H12" t="str">
        <f>+CONCATENATE(A12," ",B12)</f>
        <v>A Man Called Ove: A Novel Fredrik Backman</v>
      </c>
      <c r="I12" t="str">
        <f t="shared" si="0"/>
        <v>Bajo</v>
      </c>
    </row>
    <row r="13" spans="1:9" hidden="1" x14ac:dyDescent="0.25">
      <c r="A13" t="s">
        <v>28</v>
      </c>
      <c r="B13" t="s">
        <v>29</v>
      </c>
      <c r="C13">
        <v>4.5999999999999996</v>
      </c>
      <c r="D13">
        <v>460</v>
      </c>
      <c r="E13">
        <v>2</v>
      </c>
      <c r="F13">
        <v>2010</v>
      </c>
      <c r="G13" t="s">
        <v>9</v>
      </c>
      <c r="H13" t="str">
        <f>+CONCATENATE(A13," ",B13)</f>
        <v>A Patriot's History of the United States: From Columbus's Great Discovery to the War on Terror Larry Schweikart</v>
      </c>
      <c r="I13" t="str">
        <f t="shared" si="0"/>
        <v>Bajo</v>
      </c>
    </row>
    <row r="14" spans="1:9" hidden="1" x14ac:dyDescent="0.25">
      <c r="A14" t="s">
        <v>30</v>
      </c>
      <c r="B14" t="s">
        <v>31</v>
      </c>
      <c r="C14">
        <v>4.5999999999999996</v>
      </c>
      <c r="D14">
        <v>4149</v>
      </c>
      <c r="E14">
        <v>32</v>
      </c>
      <c r="F14">
        <v>2011</v>
      </c>
      <c r="G14" t="s">
        <v>9</v>
      </c>
      <c r="H14" t="str">
        <f>+CONCATENATE(A14," ",B14)</f>
        <v>A Stolen Life: A Memoir Jaycee Dugard</v>
      </c>
      <c r="I14" t="str">
        <f t="shared" si="0"/>
        <v>Bajo</v>
      </c>
    </row>
    <row r="15" spans="1:9" hidden="1" x14ac:dyDescent="0.25">
      <c r="A15" t="s">
        <v>32</v>
      </c>
      <c r="B15" t="s">
        <v>33</v>
      </c>
      <c r="C15">
        <v>4.5</v>
      </c>
      <c r="D15">
        <v>5153</v>
      </c>
      <c r="E15">
        <v>5</v>
      </c>
      <c r="F15">
        <v>2018</v>
      </c>
      <c r="G15" t="s">
        <v>12</v>
      </c>
      <c r="H15" t="str">
        <f>+CONCATENATE(A15," ",B15)</f>
        <v>A Wrinkle in Time (Time Quintet) Madeleine L'Engle</v>
      </c>
      <c r="I15" t="str">
        <f t="shared" si="0"/>
        <v>Bajo</v>
      </c>
    </row>
    <row r="16" spans="1:9" hidden="1" x14ac:dyDescent="0.25">
      <c r="A16" t="s">
        <v>34</v>
      </c>
      <c r="B16" t="s">
        <v>35</v>
      </c>
      <c r="C16">
        <v>4.5999999999999996</v>
      </c>
      <c r="D16">
        <v>5013</v>
      </c>
      <c r="E16">
        <v>17</v>
      </c>
      <c r="F16">
        <v>2009</v>
      </c>
      <c r="G16" t="s">
        <v>9</v>
      </c>
      <c r="H16" t="str">
        <f>+CONCATENATE(A16," ",B16)</f>
        <v>Act Like a Lady, Think Like a Man: What Men Really Think About Love, Relationships, Intimacy, and Commitment Steve Harvey</v>
      </c>
      <c r="I16" t="str">
        <f t="shared" si="0"/>
        <v>Bajo</v>
      </c>
    </row>
    <row r="17" spans="1:9" hidden="1" x14ac:dyDescent="0.25">
      <c r="A17" t="s">
        <v>36</v>
      </c>
      <c r="B17" t="s">
        <v>37</v>
      </c>
      <c r="C17">
        <v>4.5</v>
      </c>
      <c r="D17">
        <v>2313</v>
      </c>
      <c r="E17">
        <v>4</v>
      </c>
      <c r="F17">
        <v>2016</v>
      </c>
      <c r="G17" t="s">
        <v>9</v>
      </c>
      <c r="H17" t="str">
        <f>+CONCATENATE(A17," ",B17)</f>
        <v>Adult Coloring Book Designs: Stress Relief Coloring Book: Garden Designs, Mandalas, Animals, and Paisley Patterns Adult Coloring Book Designs</v>
      </c>
      <c r="I17" t="str">
        <f t="shared" si="0"/>
        <v>Bajo</v>
      </c>
    </row>
    <row r="18" spans="1:9" hidden="1" x14ac:dyDescent="0.25">
      <c r="A18" t="s">
        <v>38</v>
      </c>
      <c r="B18" t="s">
        <v>39</v>
      </c>
      <c r="C18">
        <v>4.5999999999999996</v>
      </c>
      <c r="D18">
        <v>2925</v>
      </c>
      <c r="E18">
        <v>6</v>
      </c>
      <c r="F18">
        <v>2015</v>
      </c>
      <c r="G18" t="s">
        <v>9</v>
      </c>
      <c r="H18" t="str">
        <f>+CONCATENATE(A18," ",B18)</f>
        <v>Adult Coloring Book: Stress Relieving Animal Designs Blue Star Coloring</v>
      </c>
      <c r="I18" t="str">
        <f t="shared" si="0"/>
        <v>Bajo</v>
      </c>
    </row>
    <row r="19" spans="1:9" hidden="1" x14ac:dyDescent="0.25">
      <c r="A19" t="s">
        <v>40</v>
      </c>
      <c r="B19" t="s">
        <v>39</v>
      </c>
      <c r="C19">
        <v>4.4000000000000004</v>
      </c>
      <c r="D19">
        <v>2951</v>
      </c>
      <c r="E19">
        <v>6</v>
      </c>
      <c r="F19">
        <v>2015</v>
      </c>
      <c r="G19" t="s">
        <v>9</v>
      </c>
      <c r="H19" t="str">
        <f>+CONCATENATE(A19," ",B19)</f>
        <v>Adult Coloring Book: Stress Relieving Patterns Blue Star Coloring</v>
      </c>
      <c r="I19" t="str">
        <f t="shared" si="0"/>
        <v>Bajo</v>
      </c>
    </row>
    <row r="20" spans="1:9" hidden="1" x14ac:dyDescent="0.25">
      <c r="A20" t="s">
        <v>41</v>
      </c>
      <c r="B20" t="s">
        <v>42</v>
      </c>
      <c r="C20">
        <v>4.5</v>
      </c>
      <c r="D20">
        <v>2426</v>
      </c>
      <c r="E20">
        <v>8</v>
      </c>
      <c r="F20">
        <v>2015</v>
      </c>
      <c r="G20" t="s">
        <v>9</v>
      </c>
      <c r="H20" t="str">
        <f>+CONCATENATE(A20," ",B20)</f>
        <v>Adult Coloring Books: A Coloring Book for Adults Featuring Mandalas and Henna Inspired Flowers, Animals, and Paisley… Coloring Books for Adults</v>
      </c>
      <c r="I20" t="str">
        <f t="shared" si="0"/>
        <v>Bajo</v>
      </c>
    </row>
    <row r="21" spans="1:9" hidden="1" x14ac:dyDescent="0.25">
      <c r="A21" t="s">
        <v>43</v>
      </c>
      <c r="B21" t="s">
        <v>44</v>
      </c>
      <c r="C21">
        <v>4.8</v>
      </c>
      <c r="D21">
        <v>9198</v>
      </c>
      <c r="E21">
        <v>13</v>
      </c>
      <c r="F21">
        <v>2016</v>
      </c>
      <c r="G21" t="s">
        <v>9</v>
      </c>
      <c r="H21" t="str">
        <f>+CONCATENATE(A21," ",B21)</f>
        <v>Alexander Hamilton Ron Chernow</v>
      </c>
      <c r="I21" t="str">
        <f t="shared" si="0"/>
        <v>Bajo</v>
      </c>
    </row>
    <row r="22" spans="1:9" hidden="1" x14ac:dyDescent="0.25">
      <c r="A22" t="s">
        <v>45</v>
      </c>
      <c r="B22" t="s">
        <v>46</v>
      </c>
      <c r="C22">
        <v>4.5999999999999996</v>
      </c>
      <c r="D22">
        <v>36348</v>
      </c>
      <c r="E22">
        <v>14</v>
      </c>
      <c r="F22">
        <v>2014</v>
      </c>
      <c r="G22" t="s">
        <v>12</v>
      </c>
      <c r="H22" t="str">
        <f>+CONCATENATE(A22," ",B22)</f>
        <v>All the Light We Cannot See Anthony Doerr</v>
      </c>
      <c r="I22" t="str">
        <f t="shared" si="0"/>
        <v>Bajo</v>
      </c>
    </row>
    <row r="23" spans="1:9" hidden="1" x14ac:dyDescent="0.25">
      <c r="A23" t="s">
        <v>47</v>
      </c>
      <c r="B23" t="s">
        <v>48</v>
      </c>
      <c r="C23">
        <v>3.9</v>
      </c>
      <c r="D23">
        <v>6310</v>
      </c>
      <c r="E23">
        <v>13</v>
      </c>
      <c r="F23">
        <v>2013</v>
      </c>
      <c r="G23" t="s">
        <v>12</v>
      </c>
      <c r="H23" t="str">
        <f>+CONCATENATE(A23," ",B23)</f>
        <v>Allegiant Veronica Roth</v>
      </c>
      <c r="I23" t="str">
        <f t="shared" si="0"/>
        <v>Bajo</v>
      </c>
    </row>
    <row r="24" spans="1:9" hidden="1" x14ac:dyDescent="0.25">
      <c r="A24" t="s">
        <v>49</v>
      </c>
      <c r="B24" t="s">
        <v>50</v>
      </c>
      <c r="C24">
        <v>4.5999999999999996</v>
      </c>
      <c r="D24">
        <v>15921</v>
      </c>
      <c r="E24">
        <v>9</v>
      </c>
      <c r="F24">
        <v>2015</v>
      </c>
      <c r="G24" t="s">
        <v>9</v>
      </c>
      <c r="H24" t="str">
        <f>+CONCATENATE(A24," ",B24)</f>
        <v>American Sniper: The Autobiography of the Most Lethal Sniper in U.S. Military History Chris Kyle</v>
      </c>
      <c r="I24" t="str">
        <f t="shared" si="0"/>
        <v>Bajo</v>
      </c>
    </row>
    <row r="25" spans="1:9" hidden="1" x14ac:dyDescent="0.25">
      <c r="A25" t="s">
        <v>51</v>
      </c>
      <c r="B25" t="s">
        <v>52</v>
      </c>
      <c r="C25">
        <v>4.3</v>
      </c>
      <c r="D25">
        <v>12159</v>
      </c>
      <c r="E25">
        <v>13</v>
      </c>
      <c r="F25">
        <v>2013</v>
      </c>
      <c r="G25" t="s">
        <v>12</v>
      </c>
      <c r="H25" t="str">
        <f>+CONCATENATE(A25," ",B25)</f>
        <v>And the Mountains Echoed Khaled Hosseini</v>
      </c>
      <c r="I25" t="str">
        <f t="shared" si="0"/>
        <v>Bajo</v>
      </c>
    </row>
    <row r="26" spans="1:9" hidden="1" x14ac:dyDescent="0.25">
      <c r="A26" t="s">
        <v>53</v>
      </c>
      <c r="B26" t="s">
        <v>54</v>
      </c>
      <c r="C26">
        <v>4.5999999999999996</v>
      </c>
      <c r="D26">
        <v>798</v>
      </c>
      <c r="E26">
        <v>5</v>
      </c>
      <c r="F26">
        <v>2009</v>
      </c>
      <c r="G26" t="s">
        <v>9</v>
      </c>
      <c r="H26" t="str">
        <f>+CONCATENATE(A26," ",B26)</f>
        <v>Arguing with Idiots: How to Stop Small Minds and Big Government Glenn Beck</v>
      </c>
      <c r="I26" t="str">
        <f t="shared" si="0"/>
        <v>Bajo</v>
      </c>
    </row>
    <row r="27" spans="1:9" hidden="1" x14ac:dyDescent="0.25">
      <c r="A27" t="s">
        <v>55</v>
      </c>
      <c r="B27" t="s">
        <v>56</v>
      </c>
      <c r="C27">
        <v>4.7</v>
      </c>
      <c r="D27">
        <v>9374</v>
      </c>
      <c r="E27">
        <v>9</v>
      </c>
      <c r="F27">
        <v>2017</v>
      </c>
      <c r="G27" t="s">
        <v>9</v>
      </c>
      <c r="H27" t="str">
        <f>+CONCATENATE(A27," ",B27)</f>
        <v>Astrophysics for People in a Hurry Neil deGrasse Tyson</v>
      </c>
      <c r="I27" t="str">
        <f t="shared" si="0"/>
        <v>Bajo</v>
      </c>
    </row>
    <row r="28" spans="1:9" hidden="1" x14ac:dyDescent="0.25">
      <c r="A28" t="s">
        <v>57</v>
      </c>
      <c r="B28" t="s">
        <v>58</v>
      </c>
      <c r="C28">
        <v>4.2</v>
      </c>
      <c r="D28">
        <v>491</v>
      </c>
      <c r="E28">
        <v>14</v>
      </c>
      <c r="F28">
        <v>2010</v>
      </c>
      <c r="G28" t="s">
        <v>9</v>
      </c>
      <c r="H28" t="str">
        <f>+CONCATENATE(A28," ",B28)</f>
        <v>Autobiography of Mark Twain, Vol. 1 Mark Twain</v>
      </c>
      <c r="I28" t="str">
        <f t="shared" si="0"/>
        <v>Bajo</v>
      </c>
    </row>
    <row r="29" spans="1:9" hidden="1" x14ac:dyDescent="0.25">
      <c r="A29" t="s">
        <v>59</v>
      </c>
      <c r="B29" t="s">
        <v>60</v>
      </c>
      <c r="C29">
        <v>4.5999999999999996</v>
      </c>
      <c r="D29">
        <v>5360</v>
      </c>
      <c r="E29">
        <v>5</v>
      </c>
      <c r="F29">
        <v>2015</v>
      </c>
      <c r="G29" t="s">
        <v>9</v>
      </c>
      <c r="H29" t="str">
        <f>+CONCATENATE(A29," ",B29)</f>
        <v>Baby Touch and Feel: Animals DK</v>
      </c>
      <c r="I29" t="str">
        <f t="shared" si="0"/>
        <v>Bajo</v>
      </c>
    </row>
    <row r="30" spans="1:9" hidden="1" x14ac:dyDescent="0.25">
      <c r="A30" t="s">
        <v>61</v>
      </c>
      <c r="B30" t="s">
        <v>62</v>
      </c>
      <c r="C30">
        <v>4.5999999999999996</v>
      </c>
      <c r="D30">
        <v>1909</v>
      </c>
      <c r="E30">
        <v>11</v>
      </c>
      <c r="F30">
        <v>2015</v>
      </c>
      <c r="G30" t="s">
        <v>9</v>
      </c>
      <c r="H30" t="str">
        <f>+CONCATENATE(A30," ",B30)</f>
        <v>Balance (Angie's Extreme Stress Menders) Angie Grace</v>
      </c>
      <c r="I30" t="str">
        <f t="shared" si="0"/>
        <v>Bajo</v>
      </c>
    </row>
    <row r="31" spans="1:9" hidden="1" x14ac:dyDescent="0.25">
      <c r="A31" t="s">
        <v>63</v>
      </c>
      <c r="B31" t="s">
        <v>64</v>
      </c>
      <c r="C31">
        <v>4.8</v>
      </c>
      <c r="D31">
        <v>1296</v>
      </c>
      <c r="E31">
        <v>24</v>
      </c>
      <c r="F31">
        <v>2012</v>
      </c>
      <c r="G31" t="s">
        <v>9</v>
      </c>
      <c r="H31" t="str">
        <f>+CONCATENATE(A31," ",B31)</f>
        <v>Barefoot Contessa Foolproof: Recipes You Can Trust: A Cookbook Ina Garten</v>
      </c>
      <c r="I31" t="str">
        <f t="shared" si="0"/>
        <v>Bajo</v>
      </c>
    </row>
    <row r="32" spans="1:9" hidden="1" x14ac:dyDescent="0.25">
      <c r="A32" t="s">
        <v>65</v>
      </c>
      <c r="B32" t="s">
        <v>64</v>
      </c>
      <c r="C32">
        <v>4.7</v>
      </c>
      <c r="D32">
        <v>615</v>
      </c>
      <c r="E32">
        <v>21</v>
      </c>
      <c r="F32">
        <v>2010</v>
      </c>
      <c r="G32" t="s">
        <v>9</v>
      </c>
      <c r="H32" t="str">
        <f>+CONCATENATE(A32," ",B32)</f>
        <v>Barefoot Contessa, How Easy Is That?: Fabulous Recipes &amp; Easy Tips Ina Garten</v>
      </c>
      <c r="I32" t="str">
        <f t="shared" si="0"/>
        <v>Bajo</v>
      </c>
    </row>
    <row r="33" spans="1:9" hidden="1" x14ac:dyDescent="0.25">
      <c r="A33" t="s">
        <v>66</v>
      </c>
      <c r="B33" t="s">
        <v>67</v>
      </c>
      <c r="C33">
        <v>4.8</v>
      </c>
      <c r="D33">
        <v>61133</v>
      </c>
      <c r="E33">
        <v>11</v>
      </c>
      <c r="F33">
        <v>2018</v>
      </c>
      <c r="G33" t="s">
        <v>9</v>
      </c>
      <c r="H33" t="str">
        <f>+CONCATENATE(A33," ",B33)</f>
        <v>Becoming Michelle Obama</v>
      </c>
      <c r="I33" t="str">
        <f t="shared" si="0"/>
        <v>Bajo</v>
      </c>
    </row>
    <row r="34" spans="1:9" hidden="1" x14ac:dyDescent="0.25">
      <c r="A34" t="s">
        <v>68</v>
      </c>
      <c r="B34" t="s">
        <v>69</v>
      </c>
      <c r="C34">
        <v>4.8</v>
      </c>
      <c r="D34">
        <v>11113</v>
      </c>
      <c r="E34">
        <v>15</v>
      </c>
      <c r="F34">
        <v>2015</v>
      </c>
      <c r="G34" t="s">
        <v>9</v>
      </c>
      <c r="H34" t="str">
        <f>+CONCATENATE(A34," ",B34)</f>
        <v>Being Mortal: Medicine and What Matters in the End Atul Gawande</v>
      </c>
      <c r="I34" t="str">
        <f t="shared" si="0"/>
        <v>Bajo</v>
      </c>
    </row>
    <row r="35" spans="1:9" hidden="1" x14ac:dyDescent="0.25">
      <c r="A35" t="s">
        <v>70</v>
      </c>
      <c r="B35" t="s">
        <v>71</v>
      </c>
      <c r="C35">
        <v>4.7</v>
      </c>
      <c r="D35">
        <v>10070</v>
      </c>
      <c r="E35">
        <v>13</v>
      </c>
      <c r="F35">
        <v>2015</v>
      </c>
      <c r="G35" t="s">
        <v>9</v>
      </c>
      <c r="H35" t="str">
        <f>+CONCATENATE(A35," ",B35)</f>
        <v>Between the World and Me Ta-Nehisi Coates</v>
      </c>
      <c r="I35" t="str">
        <f t="shared" si="0"/>
        <v>Bajo</v>
      </c>
    </row>
    <row r="36" spans="1:9" hidden="1" x14ac:dyDescent="0.25">
      <c r="A36" t="s">
        <v>72</v>
      </c>
      <c r="B36" t="s">
        <v>73</v>
      </c>
      <c r="C36">
        <v>4.7</v>
      </c>
      <c r="D36">
        <v>3729</v>
      </c>
      <c r="E36">
        <v>18</v>
      </c>
      <c r="F36">
        <v>2016</v>
      </c>
      <c r="G36" t="s">
        <v>9</v>
      </c>
      <c r="H36" t="str">
        <f>+CONCATENATE(A36," ",B36)</f>
        <v>Born to Run Bruce Springsteen</v>
      </c>
      <c r="I36" t="str">
        <f t="shared" si="0"/>
        <v>Bajo</v>
      </c>
    </row>
    <row r="37" spans="1:9" hidden="1" x14ac:dyDescent="0.25">
      <c r="A37" t="s">
        <v>74</v>
      </c>
      <c r="B37" t="s">
        <v>75</v>
      </c>
      <c r="C37">
        <v>4.5999999999999996</v>
      </c>
      <c r="D37">
        <v>9769</v>
      </c>
      <c r="E37">
        <v>13</v>
      </c>
      <c r="F37">
        <v>2009</v>
      </c>
      <c r="G37" t="s">
        <v>12</v>
      </c>
      <c r="H37" t="str">
        <f>+CONCATENATE(A37," ",B37)</f>
        <v>Breaking Dawn (The Twilight Saga, Book 4) Stephenie Meyer</v>
      </c>
      <c r="I37" t="str">
        <f t="shared" si="0"/>
        <v>Bajo</v>
      </c>
    </row>
    <row r="38" spans="1:9" hidden="1" x14ac:dyDescent="0.25">
      <c r="A38" t="s">
        <v>76</v>
      </c>
      <c r="B38" t="s">
        <v>54</v>
      </c>
      <c r="C38">
        <v>4.5</v>
      </c>
      <c r="D38">
        <v>471</v>
      </c>
      <c r="E38">
        <v>8</v>
      </c>
      <c r="F38">
        <v>2010</v>
      </c>
      <c r="G38" t="s">
        <v>9</v>
      </c>
      <c r="H38" t="str">
        <f>+CONCATENATE(A38," ",B38)</f>
        <v>Broke: The Plan to Restore Our Trust, Truth and Treasure Glenn Beck</v>
      </c>
      <c r="I38" t="str">
        <f t="shared" si="0"/>
        <v>Bajo</v>
      </c>
    </row>
    <row r="39" spans="1:9" hidden="1" x14ac:dyDescent="0.25">
      <c r="A39" t="s">
        <v>77</v>
      </c>
      <c r="B39" t="s">
        <v>78</v>
      </c>
      <c r="C39">
        <v>4.9000000000000004</v>
      </c>
      <c r="D39">
        <v>14344</v>
      </c>
      <c r="E39">
        <v>5</v>
      </c>
      <c r="F39">
        <v>2017</v>
      </c>
      <c r="G39" t="s">
        <v>12</v>
      </c>
      <c r="H39" t="str">
        <f>+CONCATENATE(A39," ",B39)</f>
        <v>Brown Bear, Brown Bear, What Do You See? Bill Martin Jr.</v>
      </c>
      <c r="I39" t="str">
        <f t="shared" si="0"/>
        <v>Bajo</v>
      </c>
    </row>
    <row r="40" spans="1:9" hidden="1" x14ac:dyDescent="0.25">
      <c r="A40" t="s">
        <v>79</v>
      </c>
      <c r="B40" t="s">
        <v>80</v>
      </c>
      <c r="C40">
        <v>4.8</v>
      </c>
      <c r="D40">
        <v>4505</v>
      </c>
      <c r="E40">
        <v>0</v>
      </c>
      <c r="F40">
        <v>2011</v>
      </c>
      <c r="G40" t="s">
        <v>12</v>
      </c>
      <c r="H40" t="str">
        <f>+CONCATENATE(A40," ",B40)</f>
        <v>Cabin Fever (Diary of a Wimpy Kid, Book 6) Jeff Kinney</v>
      </c>
      <c r="I40" t="str">
        <f t="shared" si="0"/>
        <v>Bajo</v>
      </c>
    </row>
    <row r="41" spans="1:9" hidden="1" x14ac:dyDescent="0.25">
      <c r="A41" t="s">
        <v>81</v>
      </c>
      <c r="B41" t="s">
        <v>82</v>
      </c>
      <c r="C41">
        <v>4.5999999999999996</v>
      </c>
      <c r="D41">
        <v>10369</v>
      </c>
      <c r="E41">
        <v>4</v>
      </c>
      <c r="F41">
        <v>2016</v>
      </c>
      <c r="G41" t="s">
        <v>9</v>
      </c>
      <c r="H41" t="str">
        <f>+CONCATENATE(A41," ",B41)</f>
        <v>Calm the F*ck Down: An Irreverent Adult Coloring Book (Irreverent Book Series) Sasha O'Hara</v>
      </c>
      <c r="I41" t="str">
        <f t="shared" si="0"/>
        <v>Bajo</v>
      </c>
    </row>
    <row r="42" spans="1:9" hidden="1" x14ac:dyDescent="0.25">
      <c r="A42" t="s">
        <v>83</v>
      </c>
      <c r="B42" t="s">
        <v>84</v>
      </c>
      <c r="C42">
        <v>4.8</v>
      </c>
      <c r="D42">
        <v>16244</v>
      </c>
      <c r="E42">
        <v>18</v>
      </c>
      <c r="F42">
        <v>2019</v>
      </c>
      <c r="G42" t="s">
        <v>9</v>
      </c>
      <c r="H42" t="str">
        <f>+CONCATENATE(A42," ",B42)</f>
        <v>Can't Hurt Me: Master Your Mind and Defy the Odds David Goggins</v>
      </c>
      <c r="I42" t="str">
        <f t="shared" si="0"/>
        <v>Bajo</v>
      </c>
    </row>
    <row r="43" spans="1:9" hidden="1" x14ac:dyDescent="0.25">
      <c r="A43" t="s">
        <v>85</v>
      </c>
      <c r="B43" t="s">
        <v>86</v>
      </c>
      <c r="C43">
        <v>4.5</v>
      </c>
      <c r="D43">
        <v>2884</v>
      </c>
      <c r="E43">
        <v>28</v>
      </c>
      <c r="F43">
        <v>2014</v>
      </c>
      <c r="G43" t="s">
        <v>9</v>
      </c>
      <c r="H43" t="str">
        <f>+CONCATENATE(A43," ",B43)</f>
        <v>Capital in the Twenty First Century Thomas Piketty</v>
      </c>
      <c r="I43" t="str">
        <f t="shared" si="0"/>
        <v>Bajo</v>
      </c>
    </row>
    <row r="44" spans="1:9" hidden="1" x14ac:dyDescent="0.25">
      <c r="A44" t="s">
        <v>87</v>
      </c>
      <c r="B44" t="s">
        <v>88</v>
      </c>
      <c r="C44">
        <v>4.7</v>
      </c>
      <c r="D44">
        <v>22614</v>
      </c>
      <c r="E44">
        <v>11</v>
      </c>
      <c r="F44">
        <v>2010</v>
      </c>
      <c r="G44" t="s">
        <v>12</v>
      </c>
      <c r="H44" t="str">
        <f>+CONCATENATE(A44," ",B44)</f>
        <v>Catching Fire (The Hunger Games) Suzanne Collins</v>
      </c>
      <c r="I44" t="str">
        <f t="shared" si="0"/>
        <v>Bajo</v>
      </c>
    </row>
    <row r="45" spans="1:9" hidden="1" x14ac:dyDescent="0.25">
      <c r="A45" t="s">
        <v>89</v>
      </c>
      <c r="B45" t="s">
        <v>90</v>
      </c>
      <c r="C45">
        <v>4.7</v>
      </c>
      <c r="D45">
        <v>4761</v>
      </c>
      <c r="E45">
        <v>16</v>
      </c>
      <c r="F45">
        <v>2016</v>
      </c>
      <c r="G45" t="s">
        <v>9</v>
      </c>
      <c r="H45" t="str">
        <f>+CONCATENATE(A45," ",B45)</f>
        <v>Cravings: Recipes for All the Food You Want to Eat: A Cookbook Chrissy Teigen</v>
      </c>
      <c r="I45" t="str">
        <f t="shared" si="0"/>
        <v>Bajo</v>
      </c>
    </row>
    <row r="46" spans="1:9" hidden="1" x14ac:dyDescent="0.25">
      <c r="A46" t="s">
        <v>91</v>
      </c>
      <c r="B46" t="s">
        <v>92</v>
      </c>
      <c r="C46">
        <v>4.7</v>
      </c>
      <c r="D46">
        <v>1542</v>
      </c>
      <c r="E46">
        <v>14</v>
      </c>
      <c r="F46">
        <v>2009</v>
      </c>
      <c r="G46" t="s">
        <v>9</v>
      </c>
      <c r="H46" t="str">
        <f>+CONCATENATE(A46," ",B46)</f>
        <v>Crazy Love: Overwhelmed by a Relentless God Francis Chan</v>
      </c>
      <c r="I46" t="str">
        <f t="shared" si="0"/>
        <v>Bajo</v>
      </c>
    </row>
    <row r="47" spans="1:9" hidden="1" x14ac:dyDescent="0.25">
      <c r="A47" t="s">
        <v>93</v>
      </c>
      <c r="B47" t="s">
        <v>94</v>
      </c>
      <c r="C47">
        <v>4.3</v>
      </c>
      <c r="D47">
        <v>6143</v>
      </c>
      <c r="E47">
        <v>8</v>
      </c>
      <c r="F47">
        <v>2018</v>
      </c>
      <c r="G47" t="s">
        <v>12</v>
      </c>
      <c r="H47" t="str">
        <f>+CONCATENATE(A47," ",B47)</f>
        <v>Crazy Rich Asians (Crazy Rich Asians Trilogy) Kevin Kwan</v>
      </c>
      <c r="I47" t="str">
        <f t="shared" si="0"/>
        <v>Bajo</v>
      </c>
    </row>
    <row r="48" spans="1:9" hidden="1" x14ac:dyDescent="0.25">
      <c r="A48" t="s">
        <v>95</v>
      </c>
      <c r="B48" t="s">
        <v>96</v>
      </c>
      <c r="C48">
        <v>4.8</v>
      </c>
      <c r="D48">
        <v>4022</v>
      </c>
      <c r="E48">
        <v>4</v>
      </c>
      <c r="F48">
        <v>2015</v>
      </c>
      <c r="G48" t="s">
        <v>9</v>
      </c>
      <c r="H48" t="str">
        <f>+CONCATENATE(A48," ",B48)</f>
        <v>Creative Haven Creative Cats Coloring Book (Adult Coloring) Marjorie Sarnat</v>
      </c>
      <c r="I48" t="str">
        <f t="shared" si="0"/>
        <v>Bajo</v>
      </c>
    </row>
    <row r="49" spans="1:9" hidden="1" x14ac:dyDescent="0.25">
      <c r="A49" t="s">
        <v>97</v>
      </c>
      <c r="B49" t="s">
        <v>96</v>
      </c>
      <c r="C49">
        <v>4.8</v>
      </c>
      <c r="D49">
        <v>3871</v>
      </c>
      <c r="E49">
        <v>5</v>
      </c>
      <c r="F49">
        <v>2015</v>
      </c>
      <c r="G49" t="s">
        <v>9</v>
      </c>
      <c r="H49" t="str">
        <f>+CONCATENATE(A49," ",B49)</f>
        <v>Creative Haven Owls Coloring Book (Adult Coloring) Marjorie Sarnat</v>
      </c>
      <c r="I49" t="str">
        <f t="shared" si="0"/>
        <v>Bajo</v>
      </c>
    </row>
    <row r="50" spans="1:9" hidden="1" x14ac:dyDescent="0.25">
      <c r="A50" t="s">
        <v>98</v>
      </c>
      <c r="B50" t="s">
        <v>99</v>
      </c>
      <c r="C50">
        <v>4.5999999999999996</v>
      </c>
      <c r="D50">
        <v>4866</v>
      </c>
      <c r="E50">
        <v>11</v>
      </c>
      <c r="F50">
        <v>2010</v>
      </c>
      <c r="G50" t="s">
        <v>12</v>
      </c>
      <c r="H50" t="str">
        <f>+CONCATENATE(A50," ",B50)</f>
        <v>Cutting for Stone Abraham Verghese</v>
      </c>
      <c r="I50" t="str">
        <f t="shared" si="0"/>
        <v>Bajo</v>
      </c>
    </row>
    <row r="51" spans="1:9" hidden="1" x14ac:dyDescent="0.25">
      <c r="A51" t="s">
        <v>100</v>
      </c>
      <c r="B51" t="s">
        <v>101</v>
      </c>
      <c r="C51">
        <v>4.8</v>
      </c>
      <c r="D51">
        <v>1329</v>
      </c>
      <c r="E51">
        <v>10</v>
      </c>
      <c r="F51">
        <v>2013</v>
      </c>
      <c r="G51" t="s">
        <v>9</v>
      </c>
      <c r="H51" t="str">
        <f>+CONCATENATE(A51," ",B51)</f>
        <v>Daring Greatly: How the Courage to Be Vulnerable Transforms the Way We Live, Love, Parent, and Lead Brené Brown</v>
      </c>
      <c r="I51" t="str">
        <f t="shared" si="0"/>
        <v>Bajo</v>
      </c>
    </row>
    <row r="52" spans="1:9" hidden="1" x14ac:dyDescent="0.25">
      <c r="A52" t="s">
        <v>102</v>
      </c>
      <c r="B52" t="s">
        <v>103</v>
      </c>
      <c r="C52">
        <v>4.4000000000000004</v>
      </c>
      <c r="D52">
        <v>4642</v>
      </c>
      <c r="E52">
        <v>13</v>
      </c>
      <c r="F52">
        <v>2013</v>
      </c>
      <c r="G52" t="s">
        <v>9</v>
      </c>
      <c r="H52" t="str">
        <f>+CONCATENATE(A52," ",B52)</f>
        <v>David and Goliath: Underdogs, Misfits, and the Art of Battling Giants Malcolm Gladwell</v>
      </c>
      <c r="I52" t="str">
        <f t="shared" si="0"/>
        <v>Bajo</v>
      </c>
    </row>
    <row r="53" spans="1:9" hidden="1" x14ac:dyDescent="0.25">
      <c r="A53" t="s">
        <v>104</v>
      </c>
      <c r="B53" t="s">
        <v>105</v>
      </c>
      <c r="C53">
        <v>4.5999999999999996</v>
      </c>
      <c r="D53">
        <v>1541</v>
      </c>
      <c r="E53">
        <v>4</v>
      </c>
      <c r="F53">
        <v>2009</v>
      </c>
      <c r="G53" t="s">
        <v>12</v>
      </c>
      <c r="H53" t="str">
        <f>+CONCATENATE(A53," ",B53)</f>
        <v>Dead And Gone: A Sookie Stackhouse Novel (Sookie Stackhouse/True Blood) Charlaine Harris</v>
      </c>
      <c r="I53" t="str">
        <f t="shared" si="0"/>
        <v>Bajo</v>
      </c>
    </row>
    <row r="54" spans="1:9" hidden="1" x14ac:dyDescent="0.25">
      <c r="A54" t="s">
        <v>106</v>
      </c>
      <c r="B54" t="s">
        <v>105</v>
      </c>
      <c r="C54">
        <v>4.3</v>
      </c>
      <c r="D54">
        <v>1924</v>
      </c>
      <c r="E54">
        <v>8</v>
      </c>
      <c r="F54">
        <v>2010</v>
      </c>
      <c r="G54" t="s">
        <v>12</v>
      </c>
      <c r="H54" t="str">
        <f>+CONCATENATE(A54," ",B54)</f>
        <v>Dead in the Family (Sookie Stackhouse/True Blood, Book 10) Charlaine Harris</v>
      </c>
      <c r="I54" t="str">
        <f t="shared" si="0"/>
        <v>Bajo</v>
      </c>
    </row>
    <row r="55" spans="1:9" hidden="1" x14ac:dyDescent="0.25">
      <c r="A55" t="s">
        <v>107</v>
      </c>
      <c r="B55" t="s">
        <v>105</v>
      </c>
      <c r="C55">
        <v>4.2</v>
      </c>
      <c r="D55">
        <v>2094</v>
      </c>
      <c r="E55">
        <v>4</v>
      </c>
      <c r="F55">
        <v>2011</v>
      </c>
      <c r="G55" t="s">
        <v>12</v>
      </c>
      <c r="H55" t="str">
        <f>+CONCATENATE(A55," ",B55)</f>
        <v>Dead Reckoning (Sookie Stackhouse/True Blood, Book 11) Charlaine Harris</v>
      </c>
      <c r="I55" t="str">
        <f t="shared" si="0"/>
        <v>Bajo</v>
      </c>
    </row>
    <row r="56" spans="1:9" hidden="1" x14ac:dyDescent="0.25">
      <c r="A56" t="s">
        <v>108</v>
      </c>
      <c r="B56" t="s">
        <v>109</v>
      </c>
      <c r="C56">
        <v>4.8</v>
      </c>
      <c r="D56">
        <v>10922</v>
      </c>
      <c r="E56">
        <v>5</v>
      </c>
      <c r="F56">
        <v>2015</v>
      </c>
      <c r="G56" t="s">
        <v>12</v>
      </c>
      <c r="H56" t="str">
        <f>+CONCATENATE(A56," ",B56)</f>
        <v>Dear Zoo: A Lift-the-Flap Book Rod Campbell</v>
      </c>
      <c r="I56" t="str">
        <f t="shared" si="0"/>
        <v>Bajo</v>
      </c>
    </row>
    <row r="57" spans="1:9" hidden="1" x14ac:dyDescent="0.25">
      <c r="A57" t="s">
        <v>110</v>
      </c>
      <c r="B57" t="s">
        <v>111</v>
      </c>
      <c r="C57">
        <v>4.5999999999999996</v>
      </c>
      <c r="D57">
        <v>2137</v>
      </c>
      <c r="E57">
        <v>17</v>
      </c>
      <c r="F57">
        <v>2010</v>
      </c>
      <c r="G57" t="s">
        <v>9</v>
      </c>
      <c r="H57" t="str">
        <f>+CONCATENATE(A57," ",B57)</f>
        <v>Decision Points George W. Bush</v>
      </c>
      <c r="I57" t="str">
        <f t="shared" si="0"/>
        <v>Bajo</v>
      </c>
    </row>
    <row r="58" spans="1:9" hidden="1" x14ac:dyDescent="0.25">
      <c r="A58" t="s">
        <v>112</v>
      </c>
      <c r="B58" t="s">
        <v>113</v>
      </c>
      <c r="C58">
        <v>4.5999999999999996</v>
      </c>
      <c r="D58">
        <v>1651</v>
      </c>
      <c r="E58">
        <v>15</v>
      </c>
      <c r="F58">
        <v>2010</v>
      </c>
      <c r="G58" t="s">
        <v>9</v>
      </c>
      <c r="H58" t="str">
        <f>+CONCATENATE(A58," ",B58)</f>
        <v>Delivering Happiness: A Path to Profits, Passion, and Purpose Tony Hsieh</v>
      </c>
      <c r="I58" t="str">
        <f t="shared" si="0"/>
        <v>Bajo</v>
      </c>
    </row>
    <row r="59" spans="1:9" hidden="1" x14ac:dyDescent="0.25">
      <c r="A59" t="s">
        <v>114</v>
      </c>
      <c r="B59" t="s">
        <v>115</v>
      </c>
      <c r="C59">
        <v>4.5</v>
      </c>
      <c r="D59">
        <v>6679</v>
      </c>
      <c r="E59">
        <v>105</v>
      </c>
      <c r="F59">
        <v>2013</v>
      </c>
      <c r="G59" t="s">
        <v>9</v>
      </c>
      <c r="H59" t="str">
        <f>+CONCATENATE(A59," ",B59)</f>
        <v>Diagnostic and Statistical Manual of Mental Disorders, 5th Edition: DSM-5 American Psychiatric Association</v>
      </c>
      <c r="I59" t="str">
        <f t="shared" si="0"/>
        <v>Alto</v>
      </c>
    </row>
    <row r="60" spans="1:9" hidden="1" x14ac:dyDescent="0.25">
      <c r="A60" t="s">
        <v>116</v>
      </c>
      <c r="B60" t="s">
        <v>80</v>
      </c>
      <c r="C60">
        <v>4.8</v>
      </c>
      <c r="D60">
        <v>6812</v>
      </c>
      <c r="E60">
        <v>0</v>
      </c>
      <c r="F60">
        <v>2013</v>
      </c>
      <c r="G60" t="s">
        <v>12</v>
      </c>
      <c r="H60" t="str">
        <f>+CONCATENATE(A60," ",B60)</f>
        <v>Diary of a Wimpy Kid: Hard Luck, Book 8 Jeff Kinney</v>
      </c>
      <c r="I60" t="str">
        <f t="shared" si="0"/>
        <v>Bajo</v>
      </c>
    </row>
    <row r="61" spans="1:9" hidden="1" x14ac:dyDescent="0.25">
      <c r="A61" t="s">
        <v>117</v>
      </c>
      <c r="B61" t="s">
        <v>80</v>
      </c>
      <c r="C61">
        <v>4.8</v>
      </c>
      <c r="D61">
        <v>3837</v>
      </c>
      <c r="E61">
        <v>15</v>
      </c>
      <c r="F61">
        <v>2009</v>
      </c>
      <c r="G61" t="s">
        <v>12</v>
      </c>
      <c r="H61" t="str">
        <f>+CONCATENATE(A61," ",B61)</f>
        <v>Diary of a Wimpy Kid: The Last Straw (Book 3) Jeff Kinney</v>
      </c>
      <c r="I61" t="str">
        <f t="shared" si="0"/>
        <v>Bajo</v>
      </c>
    </row>
    <row r="62" spans="1:9" hidden="1" x14ac:dyDescent="0.25">
      <c r="A62" t="s">
        <v>118</v>
      </c>
      <c r="B62" t="s">
        <v>80</v>
      </c>
      <c r="C62">
        <v>4.8</v>
      </c>
      <c r="D62">
        <v>6540</v>
      </c>
      <c r="E62">
        <v>22</v>
      </c>
      <c r="F62">
        <v>2014</v>
      </c>
      <c r="G62" t="s">
        <v>12</v>
      </c>
      <c r="H62" t="str">
        <f>+CONCATENATE(A62," ",B62)</f>
        <v>Diary of a Wimpy Kid: The Long Haul Jeff Kinney</v>
      </c>
      <c r="I62" t="str">
        <f t="shared" si="0"/>
        <v>Bajo</v>
      </c>
    </row>
    <row r="63" spans="1:9" hidden="1" x14ac:dyDescent="0.25">
      <c r="A63" t="s">
        <v>119</v>
      </c>
      <c r="B63" t="s">
        <v>120</v>
      </c>
      <c r="C63">
        <v>4.5999999999999996</v>
      </c>
      <c r="D63">
        <v>7955</v>
      </c>
      <c r="E63">
        <v>5</v>
      </c>
      <c r="F63">
        <v>2019</v>
      </c>
      <c r="G63" t="s">
        <v>9</v>
      </c>
      <c r="H63" t="str">
        <f>+CONCATENATE(A63," ",B63)</f>
        <v>Difficult Riddles For Smart Kids: 300 Difficult Riddles And Brain Teasers Families Will Love (Books for Smart Kids) M Prefontaine</v>
      </c>
      <c r="I63" t="str">
        <f t="shared" si="0"/>
        <v>Bajo</v>
      </c>
    </row>
    <row r="64" spans="1:9" hidden="1" x14ac:dyDescent="0.25">
      <c r="A64" t="s">
        <v>121</v>
      </c>
      <c r="B64" t="s">
        <v>48</v>
      </c>
      <c r="C64">
        <v>4.5999999999999996</v>
      </c>
      <c r="D64">
        <v>27098</v>
      </c>
      <c r="E64">
        <v>15</v>
      </c>
      <c r="F64">
        <v>2013</v>
      </c>
      <c r="G64" t="s">
        <v>12</v>
      </c>
      <c r="H64" t="str">
        <f>+CONCATENATE(A64," ",B64)</f>
        <v>Divergent Veronica Roth</v>
      </c>
      <c r="I64" t="str">
        <f t="shared" si="0"/>
        <v>Bajo</v>
      </c>
    </row>
    <row r="65" spans="1:9" hidden="1" x14ac:dyDescent="0.25">
      <c r="A65" t="s">
        <v>122</v>
      </c>
      <c r="B65" t="s">
        <v>48</v>
      </c>
      <c r="C65">
        <v>4.5</v>
      </c>
      <c r="D65">
        <v>17684</v>
      </c>
      <c r="E65">
        <v>6</v>
      </c>
      <c r="F65">
        <v>2014</v>
      </c>
      <c r="G65" t="s">
        <v>12</v>
      </c>
      <c r="H65" t="str">
        <f>+CONCATENATE(A65," ",B65)</f>
        <v>Divergent / Insurgent Veronica Roth</v>
      </c>
      <c r="I65" t="str">
        <f t="shared" si="0"/>
        <v>Bajo</v>
      </c>
    </row>
    <row r="66" spans="1:9" hidden="1" x14ac:dyDescent="0.25">
      <c r="A66" t="s">
        <v>123</v>
      </c>
      <c r="B66" t="s">
        <v>124</v>
      </c>
      <c r="C66">
        <v>4.5999999999999996</v>
      </c>
      <c r="D66">
        <v>37</v>
      </c>
      <c r="E66">
        <v>6</v>
      </c>
      <c r="F66">
        <v>2009</v>
      </c>
      <c r="G66" t="s">
        <v>9</v>
      </c>
      <c r="H66" t="str">
        <f>+CONCATENATE(A66," ",B66)</f>
        <v>Divine Soul Mind Body Healing and Transmission System: The Divine Way to Heal You, Humanity, Mother Earth, and All… Zhi Gang Sha</v>
      </c>
      <c r="I66" t="str">
        <f t="shared" si="0"/>
        <v>Bajo</v>
      </c>
    </row>
    <row r="67" spans="1:9" hidden="1" x14ac:dyDescent="0.25">
      <c r="A67" t="s">
        <v>125</v>
      </c>
      <c r="B67" t="s">
        <v>11</v>
      </c>
      <c r="C67">
        <v>4.7</v>
      </c>
      <c r="D67">
        <v>15845</v>
      </c>
      <c r="E67">
        <v>13</v>
      </c>
      <c r="F67">
        <v>2013</v>
      </c>
      <c r="G67" t="s">
        <v>12</v>
      </c>
      <c r="H67" t="str">
        <f>+CONCATENATE(A67," ",B67)</f>
        <v>Doctor Sleep: A Novel Stephen King</v>
      </c>
      <c r="I67" t="str">
        <f t="shared" si="0"/>
        <v>Bajo</v>
      </c>
    </row>
    <row r="68" spans="1:9" hidden="1" x14ac:dyDescent="0.25">
      <c r="A68" t="s">
        <v>126</v>
      </c>
      <c r="B68" t="s">
        <v>80</v>
      </c>
      <c r="C68">
        <v>4.8</v>
      </c>
      <c r="D68">
        <v>3181</v>
      </c>
      <c r="E68">
        <v>12</v>
      </c>
      <c r="F68">
        <v>2009</v>
      </c>
      <c r="G68" t="s">
        <v>12</v>
      </c>
      <c r="H68" t="str">
        <f>+CONCATENATE(A68," ",B68)</f>
        <v>Dog Days (Diary of a Wimpy Kid, Book 4) (Volume 4) Jeff Kinney</v>
      </c>
      <c r="I68" t="str">
        <f t="shared" ref="I68:I131" si="1">+IF(E68&lt;=35,"Bajo",IF(E68&lt;=70,"Medio","Alto"))</f>
        <v>Bajo</v>
      </c>
    </row>
    <row r="69" spans="1:9" hidden="1" x14ac:dyDescent="0.25">
      <c r="A69" t="s">
        <v>127</v>
      </c>
      <c r="B69" t="s">
        <v>128</v>
      </c>
      <c r="C69">
        <v>4.9000000000000004</v>
      </c>
      <c r="D69">
        <v>5062</v>
      </c>
      <c r="E69">
        <v>6</v>
      </c>
      <c r="F69">
        <v>2018</v>
      </c>
      <c r="G69" t="s">
        <v>12</v>
      </c>
      <c r="H69" t="str">
        <f>+CONCATENATE(A69," ",B69)</f>
        <v>Dog Man and Cat Kid: From the Creator of Captain Underpants (Dog Man #4) Dav Pilkey</v>
      </c>
      <c r="I69" t="str">
        <f t="shared" si="1"/>
        <v>Bajo</v>
      </c>
    </row>
    <row r="70" spans="1:9" hidden="1" x14ac:dyDescent="0.25">
      <c r="A70" t="s">
        <v>129</v>
      </c>
      <c r="B70" t="s">
        <v>128</v>
      </c>
      <c r="C70">
        <v>4.9000000000000004</v>
      </c>
      <c r="D70">
        <v>4786</v>
      </c>
      <c r="E70">
        <v>8</v>
      </c>
      <c r="F70">
        <v>2017</v>
      </c>
      <c r="G70" t="s">
        <v>12</v>
      </c>
      <c r="H70" t="str">
        <f>+CONCATENATE(A70," ",B70)</f>
        <v>Dog Man: A Tale of Two Kitties: From the Creator of Captain Underpants (Dog Man #3) Dav Pilkey</v>
      </c>
      <c r="I70" t="str">
        <f t="shared" si="1"/>
        <v>Bajo</v>
      </c>
    </row>
    <row r="71" spans="1:9" hidden="1" x14ac:dyDescent="0.25">
      <c r="A71" t="s">
        <v>130</v>
      </c>
      <c r="B71" t="s">
        <v>128</v>
      </c>
      <c r="C71">
        <v>4.9000000000000004</v>
      </c>
      <c r="D71">
        <v>7235</v>
      </c>
      <c r="E71">
        <v>4</v>
      </c>
      <c r="F71">
        <v>2018</v>
      </c>
      <c r="G71" t="s">
        <v>12</v>
      </c>
      <c r="H71" t="str">
        <f>+CONCATENATE(A71," ",B71)</f>
        <v>Dog Man: Brawl of the Wild: From the Creator of Captain Underpants (Dog Man #6) Dav Pilkey</v>
      </c>
      <c r="I71" t="str">
        <f t="shared" si="1"/>
        <v>Bajo</v>
      </c>
    </row>
    <row r="72" spans="1:9" hidden="1" x14ac:dyDescent="0.25">
      <c r="A72" t="s">
        <v>131</v>
      </c>
      <c r="B72" t="s">
        <v>128</v>
      </c>
      <c r="C72">
        <v>4.9000000000000004</v>
      </c>
      <c r="D72">
        <v>12619</v>
      </c>
      <c r="E72">
        <v>8</v>
      </c>
      <c r="F72">
        <v>2019</v>
      </c>
      <c r="G72" t="s">
        <v>12</v>
      </c>
      <c r="H72" t="str">
        <f>+CONCATENATE(A72," ",B72)</f>
        <v>Dog Man: Fetch-22: From the Creator of Captain Underpants (Dog Man #8) Dav Pilkey</v>
      </c>
      <c r="I72" t="str">
        <f t="shared" si="1"/>
        <v>Bajo</v>
      </c>
    </row>
    <row r="73" spans="1:9" hidden="1" x14ac:dyDescent="0.25">
      <c r="A73" t="s">
        <v>132</v>
      </c>
      <c r="B73" t="s">
        <v>128</v>
      </c>
      <c r="C73">
        <v>4.9000000000000004</v>
      </c>
      <c r="D73">
        <v>9089</v>
      </c>
      <c r="E73">
        <v>8</v>
      </c>
      <c r="F73">
        <v>2019</v>
      </c>
      <c r="G73" t="s">
        <v>12</v>
      </c>
      <c r="H73" t="str">
        <f>+CONCATENATE(A73," ",B73)</f>
        <v>Dog Man: For Whom the Ball Rolls: From the Creator of Captain Underpants (Dog Man #7) Dav Pilkey</v>
      </c>
      <c r="I73" t="str">
        <f t="shared" si="1"/>
        <v>Bajo</v>
      </c>
    </row>
    <row r="74" spans="1:9" hidden="1" x14ac:dyDescent="0.25">
      <c r="A74" t="s">
        <v>133</v>
      </c>
      <c r="B74" t="s">
        <v>128</v>
      </c>
      <c r="C74">
        <v>4.9000000000000004</v>
      </c>
      <c r="D74">
        <v>5470</v>
      </c>
      <c r="E74">
        <v>6</v>
      </c>
      <c r="F74">
        <v>2018</v>
      </c>
      <c r="G74" t="s">
        <v>12</v>
      </c>
      <c r="H74" t="str">
        <f>+CONCATENATE(A74," ",B74)</f>
        <v>Dog Man: Lord of the Fleas: From the Creator of Captain Underpants (Dog Man #5) Dav Pilkey</v>
      </c>
      <c r="I74" t="str">
        <f t="shared" si="1"/>
        <v>Bajo</v>
      </c>
    </row>
    <row r="75" spans="1:9" hidden="1" x14ac:dyDescent="0.25">
      <c r="A75" t="s">
        <v>134</v>
      </c>
      <c r="B75" t="s">
        <v>80</v>
      </c>
      <c r="C75">
        <v>4.8</v>
      </c>
      <c r="D75">
        <v>5118</v>
      </c>
      <c r="E75">
        <v>20</v>
      </c>
      <c r="F75">
        <v>2016</v>
      </c>
      <c r="G75" t="s">
        <v>12</v>
      </c>
      <c r="H75" t="str">
        <f>+CONCATENATE(A75," ",B75)</f>
        <v>Double Down (Diary of a Wimpy Kid #11) Jeff Kinney</v>
      </c>
      <c r="I75" t="str">
        <f t="shared" si="1"/>
        <v>Bajo</v>
      </c>
    </row>
    <row r="76" spans="1:9" hidden="1" x14ac:dyDescent="0.25">
      <c r="A76" t="s">
        <v>135</v>
      </c>
      <c r="B76" t="s">
        <v>136</v>
      </c>
      <c r="C76">
        <v>4.5999999999999996</v>
      </c>
      <c r="D76">
        <v>2134</v>
      </c>
      <c r="E76">
        <v>5</v>
      </c>
      <c r="F76">
        <v>2015</v>
      </c>
      <c r="G76" t="s">
        <v>9</v>
      </c>
      <c r="H76" t="str">
        <f>+CONCATENATE(A76," ",B76)</f>
        <v>Dover Creative Haven Art Nouveau Animal Designs Coloring Book (Creative Haven Coloring Books) Marty Noble</v>
      </c>
      <c r="I76" t="str">
        <f t="shared" si="1"/>
        <v>Bajo</v>
      </c>
    </row>
    <row r="77" spans="1:9" hidden="1" x14ac:dyDescent="0.25">
      <c r="A77" t="s">
        <v>137</v>
      </c>
      <c r="B77" t="s">
        <v>138</v>
      </c>
      <c r="C77">
        <v>4.5</v>
      </c>
      <c r="D77">
        <v>2525</v>
      </c>
      <c r="E77">
        <v>16</v>
      </c>
      <c r="F77">
        <v>2010</v>
      </c>
      <c r="G77" t="s">
        <v>9</v>
      </c>
      <c r="H77" t="str">
        <f>+CONCATENATE(A77," ",B77)</f>
        <v>Drive: The Surprising Truth About What Motivates Us Daniel H. Pink</v>
      </c>
      <c r="I77" t="str">
        <f t="shared" si="1"/>
        <v>Bajo</v>
      </c>
    </row>
    <row r="78" spans="1:9" hidden="1" x14ac:dyDescent="0.25">
      <c r="A78" t="s">
        <v>139</v>
      </c>
      <c r="B78" t="s">
        <v>140</v>
      </c>
      <c r="C78">
        <v>4.5</v>
      </c>
      <c r="D78">
        <v>720</v>
      </c>
      <c r="E78">
        <v>1</v>
      </c>
      <c r="F78">
        <v>2009</v>
      </c>
      <c r="G78" t="s">
        <v>9</v>
      </c>
      <c r="H78" t="str">
        <f>+CONCATENATE(A78," ",B78)</f>
        <v>Eat This Not That! Supermarket Survival Guide: The No-Diet Weight Loss Solution David Zinczenko</v>
      </c>
      <c r="I78" t="str">
        <f t="shared" si="1"/>
        <v>Bajo</v>
      </c>
    </row>
    <row r="79" spans="1:9" hidden="1" x14ac:dyDescent="0.25">
      <c r="A79" t="s">
        <v>141</v>
      </c>
      <c r="B79" t="s">
        <v>140</v>
      </c>
      <c r="C79">
        <v>4.3</v>
      </c>
      <c r="D79">
        <v>956</v>
      </c>
      <c r="E79">
        <v>14</v>
      </c>
      <c r="F79">
        <v>2009</v>
      </c>
      <c r="G79" t="s">
        <v>9</v>
      </c>
      <c r="H79" t="str">
        <f>+CONCATENATE(A79," ",B79)</f>
        <v>Eat This, Not That! Thousands of Simple Food Swaps that Can Save You 10, 20, 30 Pounds--or More! David Zinczenko</v>
      </c>
      <c r="I79" t="str">
        <f t="shared" si="1"/>
        <v>Bajo</v>
      </c>
    </row>
    <row r="80" spans="1:9" hidden="1" x14ac:dyDescent="0.25">
      <c r="A80" t="s">
        <v>142</v>
      </c>
      <c r="B80" t="s">
        <v>143</v>
      </c>
      <c r="C80">
        <v>4.5</v>
      </c>
      <c r="D80">
        <v>6346</v>
      </c>
      <c r="E80">
        <v>9</v>
      </c>
      <c r="F80">
        <v>2011</v>
      </c>
      <c r="G80" t="s">
        <v>9</v>
      </c>
      <c r="H80" t="str">
        <f>+CONCATENATE(A80," ",B80)</f>
        <v>Eat to Live: The Amazing Nutrient-Rich Program for Fast and Sustained Weight Loss, Revised Edition Joel Fuhrman MD</v>
      </c>
      <c r="I80" t="str">
        <f t="shared" si="1"/>
        <v>Bajo</v>
      </c>
    </row>
    <row r="81" spans="1:9" hidden="1" x14ac:dyDescent="0.25">
      <c r="A81" t="s">
        <v>144</v>
      </c>
      <c r="B81" t="s">
        <v>75</v>
      </c>
      <c r="C81">
        <v>4.7</v>
      </c>
      <c r="D81">
        <v>5505</v>
      </c>
      <c r="E81">
        <v>7</v>
      </c>
      <c r="F81">
        <v>2009</v>
      </c>
      <c r="G81" t="s">
        <v>12</v>
      </c>
      <c r="H81" t="str">
        <f>+CONCATENATE(A81," ",B81)</f>
        <v>Eclipse (Twilight Sagas) Stephenie Meyer</v>
      </c>
      <c r="I81" t="str">
        <f t="shared" si="1"/>
        <v>Bajo</v>
      </c>
    </row>
    <row r="82" spans="1:9" hidden="1" x14ac:dyDescent="0.25">
      <c r="A82" t="s">
        <v>145</v>
      </c>
      <c r="B82" t="s">
        <v>75</v>
      </c>
      <c r="C82">
        <v>4.7</v>
      </c>
      <c r="D82">
        <v>5505</v>
      </c>
      <c r="E82">
        <v>18</v>
      </c>
      <c r="F82">
        <v>2009</v>
      </c>
      <c r="G82" t="s">
        <v>12</v>
      </c>
      <c r="H82" t="str">
        <f>+CONCATENATE(A82," ",B82)</f>
        <v>Eclipse (Twilight) Stephenie Meyer</v>
      </c>
      <c r="I82" t="str">
        <f t="shared" si="1"/>
        <v>Bajo</v>
      </c>
    </row>
    <row r="83" spans="1:9" hidden="1" x14ac:dyDescent="0.25">
      <c r="A83" t="s">
        <v>146</v>
      </c>
      <c r="B83" t="s">
        <v>147</v>
      </c>
      <c r="C83">
        <v>4.7</v>
      </c>
      <c r="D83">
        <v>28729</v>
      </c>
      <c r="E83">
        <v>15</v>
      </c>
      <c r="F83">
        <v>2018</v>
      </c>
      <c r="G83" t="s">
        <v>9</v>
      </c>
      <c r="H83" t="str">
        <f>+CONCATENATE(A83," ",B83)</f>
        <v>Educated: A Memoir Tara Westover</v>
      </c>
      <c r="I83" t="str">
        <f t="shared" si="1"/>
        <v>Bajo</v>
      </c>
    </row>
    <row r="84" spans="1:9" hidden="1" x14ac:dyDescent="0.25">
      <c r="A84" t="s">
        <v>148</v>
      </c>
      <c r="B84" t="s">
        <v>149</v>
      </c>
      <c r="C84">
        <v>4.7</v>
      </c>
      <c r="D84">
        <v>5413</v>
      </c>
      <c r="E84">
        <v>9</v>
      </c>
      <c r="F84">
        <v>2015</v>
      </c>
      <c r="G84" t="s">
        <v>9</v>
      </c>
      <c r="H84" t="str">
        <f>+CONCATENATE(A84," ",B84)</f>
        <v>Enchanted Forest: An Inky Quest and Coloring book (Activity Books, Mindfulness and Meditation, Illustrated Floral Prints… Johanna Basford</v>
      </c>
      <c r="I84" t="str">
        <f t="shared" si="1"/>
        <v>Bajo</v>
      </c>
    </row>
    <row r="85" spans="1:9" hidden="1" x14ac:dyDescent="0.25">
      <c r="A85" t="s">
        <v>150</v>
      </c>
      <c r="B85" t="s">
        <v>151</v>
      </c>
      <c r="C85">
        <v>4.5999999999999996</v>
      </c>
      <c r="D85">
        <v>10721</v>
      </c>
      <c r="E85">
        <v>8</v>
      </c>
      <c r="F85">
        <v>2016</v>
      </c>
      <c r="G85" t="s">
        <v>12</v>
      </c>
      <c r="H85" t="str">
        <f>+CONCATENATE(A85," ",B85)</f>
        <v>Fahrenheit 451 Ray Bradbury</v>
      </c>
      <c r="I85" t="str">
        <f t="shared" si="1"/>
        <v>Bajo</v>
      </c>
    </row>
    <row r="86" spans="1:9" hidden="1" x14ac:dyDescent="0.25">
      <c r="A86" t="s">
        <v>152</v>
      </c>
      <c r="B86" t="s">
        <v>153</v>
      </c>
      <c r="C86">
        <v>4.7</v>
      </c>
      <c r="D86">
        <v>4370</v>
      </c>
      <c r="E86">
        <v>15</v>
      </c>
      <c r="F86">
        <v>2016</v>
      </c>
      <c r="G86" t="s">
        <v>12</v>
      </c>
      <c r="H86" t="str">
        <f>+CONCATENATE(A86," ",B86)</f>
        <v>Fantastic Beasts and Where to Find Them: The Original Screenplay (Harry Potter) J.K. Rowling</v>
      </c>
      <c r="I86" t="str">
        <f t="shared" si="1"/>
        <v>Bajo</v>
      </c>
    </row>
    <row r="87" spans="1:9" hidden="1" x14ac:dyDescent="0.25">
      <c r="A87" t="s">
        <v>154</v>
      </c>
      <c r="B87" t="s">
        <v>155</v>
      </c>
      <c r="C87">
        <v>4.4000000000000004</v>
      </c>
      <c r="D87">
        <v>6042</v>
      </c>
      <c r="E87">
        <v>2</v>
      </c>
      <c r="F87">
        <v>2018</v>
      </c>
      <c r="G87" t="s">
        <v>9</v>
      </c>
      <c r="H87" t="str">
        <f>+CONCATENATE(A87," ",B87)</f>
        <v>Fear: Trump in the White House Bob Woodward</v>
      </c>
      <c r="I87" t="str">
        <f t="shared" si="1"/>
        <v>Bajo</v>
      </c>
    </row>
    <row r="88" spans="1:9" hidden="1" x14ac:dyDescent="0.25">
      <c r="A88" t="s">
        <v>156</v>
      </c>
      <c r="B88" t="s">
        <v>157</v>
      </c>
      <c r="C88">
        <v>4.4000000000000004</v>
      </c>
      <c r="D88">
        <v>23631</v>
      </c>
      <c r="E88">
        <v>7</v>
      </c>
      <c r="F88">
        <v>2012</v>
      </c>
      <c r="G88" t="s">
        <v>12</v>
      </c>
      <c r="H88" t="str">
        <f>+CONCATENATE(A88," ",B88)</f>
        <v>Fifty Shades Darker E L James</v>
      </c>
      <c r="I88" t="str">
        <f t="shared" si="1"/>
        <v>Bajo</v>
      </c>
    </row>
    <row r="89" spans="1:9" hidden="1" x14ac:dyDescent="0.25">
      <c r="A89" t="s">
        <v>158</v>
      </c>
      <c r="B89" t="s">
        <v>157</v>
      </c>
      <c r="C89">
        <v>4.5</v>
      </c>
      <c r="D89">
        <v>20262</v>
      </c>
      <c r="E89">
        <v>11</v>
      </c>
      <c r="F89">
        <v>2012</v>
      </c>
      <c r="G89" t="s">
        <v>12</v>
      </c>
      <c r="H89" t="str">
        <f>+CONCATENATE(A89," ",B89)</f>
        <v>Fifty Shades Freed: Book Three of the Fifty Shades Trilogy (Fifty Shades of Grey Series) (English Edition) E L James</v>
      </c>
      <c r="I89" t="str">
        <f t="shared" si="1"/>
        <v>Bajo</v>
      </c>
    </row>
    <row r="90" spans="1:9" hidden="1" x14ac:dyDescent="0.25">
      <c r="A90" t="s">
        <v>159</v>
      </c>
      <c r="B90" t="s">
        <v>157</v>
      </c>
      <c r="C90">
        <v>3.8</v>
      </c>
      <c r="D90">
        <v>47265</v>
      </c>
      <c r="E90">
        <v>14</v>
      </c>
      <c r="F90">
        <v>2012</v>
      </c>
      <c r="G90" t="s">
        <v>12</v>
      </c>
      <c r="H90" t="str">
        <f>+CONCATENATE(A90," ",B90)</f>
        <v>Fifty Shades of Grey: Book One of the Fifty Shades Trilogy (Fifty Shades of Grey Series) E L James</v>
      </c>
      <c r="I90" t="str">
        <f t="shared" si="1"/>
        <v>Bajo</v>
      </c>
    </row>
    <row r="91" spans="1:9" hidden="1" x14ac:dyDescent="0.25">
      <c r="A91" t="s">
        <v>160</v>
      </c>
      <c r="B91" t="s">
        <v>157</v>
      </c>
      <c r="C91">
        <v>4.5</v>
      </c>
      <c r="D91">
        <v>13964</v>
      </c>
      <c r="E91">
        <v>32</v>
      </c>
      <c r="F91">
        <v>2012</v>
      </c>
      <c r="G91" t="s">
        <v>12</v>
      </c>
      <c r="H91" t="str">
        <f>+CONCATENATE(A91," ",B91)</f>
        <v>Fifty Shades Trilogy (Fifty Shades of Grey / Fifty Shades Darker / Fifty Shades Freed) E L James</v>
      </c>
      <c r="I91" t="str">
        <f t="shared" si="1"/>
        <v>Bajo</v>
      </c>
    </row>
    <row r="92" spans="1:9" hidden="1" x14ac:dyDescent="0.25">
      <c r="A92" t="s">
        <v>161</v>
      </c>
      <c r="B92" t="s">
        <v>162</v>
      </c>
      <c r="C92">
        <v>4.2</v>
      </c>
      <c r="D92">
        <v>13677</v>
      </c>
      <c r="E92">
        <v>6</v>
      </c>
      <c r="F92">
        <v>2018</v>
      </c>
      <c r="G92" t="s">
        <v>9</v>
      </c>
      <c r="H92" t="str">
        <f>+CONCATENATE(A92," ",B92)</f>
        <v>Fire and Fury: Inside the Trump White House Michael Wolff</v>
      </c>
      <c r="I92" t="str">
        <f t="shared" si="1"/>
        <v>Bajo</v>
      </c>
    </row>
    <row r="93" spans="1:9" hidden="1" x14ac:dyDescent="0.25">
      <c r="A93" t="s">
        <v>163</v>
      </c>
      <c r="B93" t="s">
        <v>164</v>
      </c>
      <c r="C93">
        <v>4.7</v>
      </c>
      <c r="D93">
        <v>17323</v>
      </c>
      <c r="E93">
        <v>4</v>
      </c>
      <c r="F93">
        <v>2014</v>
      </c>
      <c r="G93" t="s">
        <v>9</v>
      </c>
      <c r="H93" t="str">
        <f>+CONCATENATE(A93," ",B93)</f>
        <v>First 100 Words Roger Priddy</v>
      </c>
      <c r="I93" t="str">
        <f t="shared" si="1"/>
        <v>Bajo</v>
      </c>
    </row>
    <row r="94" spans="1:9" hidden="1" x14ac:dyDescent="0.25">
      <c r="A94" t="s">
        <v>165</v>
      </c>
      <c r="B94" t="s">
        <v>166</v>
      </c>
      <c r="C94">
        <v>4.4000000000000004</v>
      </c>
      <c r="D94">
        <v>1555</v>
      </c>
      <c r="E94">
        <v>9</v>
      </c>
      <c r="F94">
        <v>2010</v>
      </c>
      <c r="G94" t="s">
        <v>9</v>
      </c>
      <c r="H94" t="str">
        <f>+CONCATENATE(A94," ",B94)</f>
        <v>Food Rules: An Eater's Manual Michael Pollan</v>
      </c>
      <c r="I94" t="str">
        <f t="shared" si="1"/>
        <v>Bajo</v>
      </c>
    </row>
    <row r="95" spans="1:9" hidden="1" x14ac:dyDescent="0.25">
      <c r="A95" t="s">
        <v>167</v>
      </c>
      <c r="B95" t="s">
        <v>168</v>
      </c>
      <c r="C95">
        <v>4.7</v>
      </c>
      <c r="D95">
        <v>3642</v>
      </c>
      <c r="E95">
        <v>0</v>
      </c>
      <c r="F95">
        <v>2014</v>
      </c>
      <c r="G95" t="s">
        <v>12</v>
      </c>
      <c r="H95" t="str">
        <f>+CONCATENATE(A95," ",B95)</f>
        <v>Frozen (Little Golden Book) RH Disney</v>
      </c>
      <c r="I95" t="str">
        <f t="shared" si="1"/>
        <v>Bajo</v>
      </c>
    </row>
    <row r="96" spans="1:9" hidden="1" x14ac:dyDescent="0.25">
      <c r="A96" t="s">
        <v>169</v>
      </c>
      <c r="B96" t="s">
        <v>170</v>
      </c>
      <c r="C96">
        <v>4.4000000000000004</v>
      </c>
      <c r="D96">
        <v>1215</v>
      </c>
      <c r="E96">
        <v>9</v>
      </c>
      <c r="F96">
        <v>2010</v>
      </c>
      <c r="G96" t="s">
        <v>9</v>
      </c>
      <c r="H96" t="str">
        <f>+CONCATENATE(A96," ",B96)</f>
        <v>Game Change: Obama and the Clintons, McCain and Palin, and the Race of a Lifetime John Heilemann</v>
      </c>
      <c r="I96" t="str">
        <f t="shared" si="1"/>
        <v>Bajo</v>
      </c>
    </row>
    <row r="97" spans="1:9" hidden="1" x14ac:dyDescent="0.25">
      <c r="A97" t="s">
        <v>171</v>
      </c>
      <c r="B97" t="s">
        <v>172</v>
      </c>
      <c r="C97">
        <v>4.5999999999999996</v>
      </c>
      <c r="D97">
        <v>5594</v>
      </c>
      <c r="E97">
        <v>5</v>
      </c>
      <c r="F97">
        <v>2011</v>
      </c>
      <c r="G97" t="s">
        <v>12</v>
      </c>
      <c r="H97" t="str">
        <f>+CONCATENATE(A97," ",B97)</f>
        <v>Game of Thrones Boxed Set: A Game of Thrones/A Clash of Kings/A Storm of Swords/A Feast for Crows George R.R. Martin</v>
      </c>
      <c r="I97" t="str">
        <f t="shared" si="1"/>
        <v>Bajo</v>
      </c>
    </row>
    <row r="98" spans="1:9" hidden="1" x14ac:dyDescent="0.25">
      <c r="A98" t="s">
        <v>173</v>
      </c>
      <c r="B98" t="s">
        <v>174</v>
      </c>
      <c r="C98">
        <v>4.5</v>
      </c>
      <c r="D98">
        <v>408</v>
      </c>
      <c r="E98">
        <v>20</v>
      </c>
      <c r="F98">
        <v>2010</v>
      </c>
      <c r="G98" t="s">
        <v>9</v>
      </c>
      <c r="H98" t="str">
        <f>+CONCATENATE(A98," ",B98)</f>
        <v>George Washington's Sacred Fire Peter A. Lillback</v>
      </c>
      <c r="I98" t="str">
        <f t="shared" si="1"/>
        <v>Bajo</v>
      </c>
    </row>
    <row r="99" spans="1:9" hidden="1" x14ac:dyDescent="0.25">
      <c r="A99" t="s">
        <v>175</v>
      </c>
      <c r="B99" t="s">
        <v>176</v>
      </c>
      <c r="C99">
        <v>4.5999999999999996</v>
      </c>
      <c r="D99">
        <v>4799</v>
      </c>
      <c r="E99">
        <v>16</v>
      </c>
      <c r="F99">
        <v>2013</v>
      </c>
      <c r="G99" t="s">
        <v>9</v>
      </c>
      <c r="H99" t="str">
        <f>+CONCATENATE(A99," ",B99)</f>
        <v>George Washington's Secret Six: The Spy Ring That Saved the American Revolution Brian Kilmeade</v>
      </c>
      <c r="I99" t="str">
        <f t="shared" si="1"/>
        <v>Bajo</v>
      </c>
    </row>
    <row r="100" spans="1:9" hidden="1" x14ac:dyDescent="0.25">
      <c r="A100" t="s">
        <v>177</v>
      </c>
      <c r="B100" t="s">
        <v>178</v>
      </c>
      <c r="C100">
        <v>4.8</v>
      </c>
      <c r="D100">
        <v>14038</v>
      </c>
      <c r="E100">
        <v>4</v>
      </c>
      <c r="F100">
        <v>2015</v>
      </c>
      <c r="G100" t="s">
        <v>12</v>
      </c>
      <c r="H100" t="str">
        <f>+CONCATENATE(A100," ",B100)</f>
        <v>Giraffes Can't Dance Giles Andreae</v>
      </c>
      <c r="I100" t="str">
        <f t="shared" si="1"/>
        <v>Bajo</v>
      </c>
    </row>
    <row r="101" spans="1:9" hidden="1" x14ac:dyDescent="0.25">
      <c r="A101" t="s">
        <v>179</v>
      </c>
      <c r="B101" t="s">
        <v>180</v>
      </c>
      <c r="C101">
        <v>4.5999999999999996</v>
      </c>
      <c r="D101">
        <v>7660</v>
      </c>
      <c r="E101">
        <v>12</v>
      </c>
      <c r="F101">
        <v>2019</v>
      </c>
      <c r="G101" t="s">
        <v>9</v>
      </c>
      <c r="H101" t="str">
        <f>+CONCATENATE(A101," ",B101)</f>
        <v>Girl, Stop Apologizing: A Shame-Free Plan for Embracing and Achieving Your Goals Rachel Hollis</v>
      </c>
      <c r="I101" t="str">
        <f t="shared" si="1"/>
        <v>Bajo</v>
      </c>
    </row>
    <row r="102" spans="1:9" hidden="1" x14ac:dyDescent="0.25">
      <c r="A102" t="s">
        <v>181</v>
      </c>
      <c r="B102" t="s">
        <v>180</v>
      </c>
      <c r="C102">
        <v>4.5999999999999996</v>
      </c>
      <c r="D102">
        <v>22288</v>
      </c>
      <c r="E102">
        <v>12</v>
      </c>
      <c r="F102">
        <v>2018</v>
      </c>
      <c r="G102" t="s">
        <v>9</v>
      </c>
      <c r="H102" t="str">
        <f>+CONCATENATE(A102," ",B102)</f>
        <v>Girl, Wash Your Face: Stop Believing the Lies About Who You Are So You Can Become Who You Were Meant to Be Rachel Hollis</v>
      </c>
      <c r="I102" t="str">
        <f t="shared" si="1"/>
        <v>Bajo</v>
      </c>
    </row>
    <row r="103" spans="1:9" hidden="1" x14ac:dyDescent="0.25">
      <c r="A103" t="s">
        <v>182</v>
      </c>
      <c r="B103" t="s">
        <v>54</v>
      </c>
      <c r="C103">
        <v>4.5999999999999996</v>
      </c>
      <c r="D103">
        <v>1365</v>
      </c>
      <c r="E103">
        <v>11</v>
      </c>
      <c r="F103">
        <v>2009</v>
      </c>
      <c r="G103" t="s">
        <v>9</v>
      </c>
      <c r="H103" t="str">
        <f>+CONCATENATE(A103," ",B103)</f>
        <v>Glenn Beck's Common Sense: The Case Against an Out-of-Control Government, Inspired by Thomas Paine Glenn Beck</v>
      </c>
      <c r="I103" t="str">
        <f t="shared" si="1"/>
        <v>Bajo</v>
      </c>
    </row>
    <row r="104" spans="1:9" hidden="1" x14ac:dyDescent="0.25">
      <c r="A104" t="s">
        <v>183</v>
      </c>
      <c r="B104" t="s">
        <v>184</v>
      </c>
      <c r="C104">
        <v>3.6</v>
      </c>
      <c r="D104">
        <v>14982</v>
      </c>
      <c r="E104">
        <v>19</v>
      </c>
      <c r="F104">
        <v>2015</v>
      </c>
      <c r="G104" t="s">
        <v>12</v>
      </c>
      <c r="H104" t="str">
        <f>+CONCATENATE(A104," ",B104)</f>
        <v>Go Set a Watchman: A Novel Harper Lee</v>
      </c>
      <c r="I104" t="str">
        <f t="shared" si="1"/>
        <v>Bajo</v>
      </c>
    </row>
    <row r="105" spans="1:9" hidden="1" x14ac:dyDescent="0.25">
      <c r="A105" t="s">
        <v>185</v>
      </c>
      <c r="B105" t="s">
        <v>186</v>
      </c>
      <c r="C105">
        <v>4.8</v>
      </c>
      <c r="D105">
        <v>9568</v>
      </c>
      <c r="E105">
        <v>9</v>
      </c>
      <c r="F105">
        <v>2011</v>
      </c>
      <c r="G105" t="s">
        <v>12</v>
      </c>
      <c r="H105" t="str">
        <f>+CONCATENATE(A105," ",B105)</f>
        <v>Go the F**k to Sleep Adam Mansbach</v>
      </c>
      <c r="I105" t="str">
        <f t="shared" si="1"/>
        <v>Bajo</v>
      </c>
    </row>
    <row r="106" spans="1:9" hidden="1" x14ac:dyDescent="0.25">
      <c r="A106" t="s">
        <v>187</v>
      </c>
      <c r="B106" t="s">
        <v>188</v>
      </c>
      <c r="C106">
        <v>4.5999999999999996</v>
      </c>
      <c r="D106">
        <v>1636</v>
      </c>
      <c r="E106">
        <v>6</v>
      </c>
      <c r="F106">
        <v>2009</v>
      </c>
      <c r="G106" t="s">
        <v>9</v>
      </c>
      <c r="H106" t="str">
        <f>+CONCATENATE(A106," ",B106)</f>
        <v>Going Rogue: An American Life Sarah Palin</v>
      </c>
      <c r="I106" t="str">
        <f t="shared" si="1"/>
        <v>Bajo</v>
      </c>
    </row>
    <row r="107" spans="1:9" hidden="1" x14ac:dyDescent="0.25">
      <c r="A107" t="s">
        <v>189</v>
      </c>
      <c r="B107" t="s">
        <v>190</v>
      </c>
      <c r="C107">
        <v>4</v>
      </c>
      <c r="D107">
        <v>57271</v>
      </c>
      <c r="E107">
        <v>10</v>
      </c>
      <c r="F107">
        <v>2012</v>
      </c>
      <c r="G107" t="s">
        <v>12</v>
      </c>
      <c r="H107" t="str">
        <f>+CONCATENATE(A107," ",B107)</f>
        <v>Gone Girl Gillian Flynn</v>
      </c>
      <c r="I107" t="str">
        <f t="shared" si="1"/>
        <v>Bajo</v>
      </c>
    </row>
    <row r="108" spans="1:9" hidden="1" x14ac:dyDescent="0.25">
      <c r="A108" t="s">
        <v>191</v>
      </c>
      <c r="B108" t="s">
        <v>192</v>
      </c>
      <c r="C108">
        <v>4.5999999999999996</v>
      </c>
      <c r="D108">
        <v>10141</v>
      </c>
      <c r="E108">
        <v>6</v>
      </c>
      <c r="F108">
        <v>2019</v>
      </c>
      <c r="G108" t="s">
        <v>9</v>
      </c>
      <c r="H108" t="str">
        <f>+CONCATENATE(A108," ",B108)</f>
        <v>Good Days Start With Gratitude: A 52 Week Guide To Cultivate An Attitude Of Gratitude: Gratitude Journal Pretty Simple Press</v>
      </c>
      <c r="I108" t="str">
        <f t="shared" si="1"/>
        <v>Bajo</v>
      </c>
    </row>
    <row r="109" spans="1:9" hidden="1" x14ac:dyDescent="0.25">
      <c r="A109" t="s">
        <v>193</v>
      </c>
      <c r="B109" t="s">
        <v>194</v>
      </c>
      <c r="C109">
        <v>4.5</v>
      </c>
      <c r="D109">
        <v>3457</v>
      </c>
      <c r="E109">
        <v>14</v>
      </c>
      <c r="F109">
        <v>2009</v>
      </c>
      <c r="G109" t="s">
        <v>9</v>
      </c>
      <c r="H109" t="str">
        <f>+CONCATENATE(A109," ",B109)</f>
        <v>Good to Great: Why Some Companies Make the Leap and Others Don't Jim Collins</v>
      </c>
      <c r="I109" t="str">
        <f t="shared" si="1"/>
        <v>Bajo</v>
      </c>
    </row>
    <row r="110" spans="1:9" hidden="1" x14ac:dyDescent="0.25">
      <c r="A110" t="s">
        <v>195</v>
      </c>
      <c r="B110" t="s">
        <v>196</v>
      </c>
      <c r="C110">
        <v>4.8</v>
      </c>
      <c r="D110">
        <v>8837</v>
      </c>
      <c r="E110">
        <v>5</v>
      </c>
      <c r="F110">
        <v>2017</v>
      </c>
      <c r="G110" t="s">
        <v>12</v>
      </c>
      <c r="H110" t="str">
        <f>+CONCATENATE(A110," ",B110)</f>
        <v>Goodnight Moon Margaret Wise Brown</v>
      </c>
      <c r="I110" t="str">
        <f t="shared" si="1"/>
        <v>Bajo</v>
      </c>
    </row>
    <row r="111" spans="1:9" hidden="1" x14ac:dyDescent="0.25">
      <c r="A111" t="s">
        <v>197</v>
      </c>
      <c r="B111" t="s">
        <v>198</v>
      </c>
      <c r="C111">
        <v>4.9000000000000004</v>
      </c>
      <c r="D111">
        <v>7038</v>
      </c>
      <c r="E111">
        <v>7</v>
      </c>
      <c r="F111">
        <v>2012</v>
      </c>
      <c r="G111" t="s">
        <v>12</v>
      </c>
      <c r="H111" t="str">
        <f>+CONCATENATE(A111," ",B111)</f>
        <v>Goodnight, Goodnight Construction Site (Hardcover Books for Toddlers, Preschool Books for Kids) Sherri Duskey Rinker</v>
      </c>
      <c r="I111" t="str">
        <f t="shared" si="1"/>
        <v>Bajo</v>
      </c>
    </row>
    <row r="112" spans="1:9" hidden="1" x14ac:dyDescent="0.25">
      <c r="A112" t="s">
        <v>199</v>
      </c>
      <c r="B112" t="s">
        <v>200</v>
      </c>
      <c r="C112">
        <v>4.5999999999999996</v>
      </c>
      <c r="D112">
        <v>5972</v>
      </c>
      <c r="E112">
        <v>10</v>
      </c>
      <c r="F112">
        <v>2014</v>
      </c>
      <c r="G112" t="s">
        <v>9</v>
      </c>
      <c r="H112" t="str">
        <f>+CONCATENATE(A112," ",B112)</f>
        <v>Grain Brain: The Surprising Truth about Wheat, Carbs, and Sugar--Your Brain's Silent Killers David Perlmutter MD</v>
      </c>
      <c r="I112" t="str">
        <f t="shared" si="1"/>
        <v>Bajo</v>
      </c>
    </row>
    <row r="113" spans="1:9" hidden="1" x14ac:dyDescent="0.25">
      <c r="A113" t="s">
        <v>201</v>
      </c>
      <c r="B113" t="s">
        <v>157</v>
      </c>
      <c r="C113">
        <v>4.4000000000000004</v>
      </c>
      <c r="D113">
        <v>25624</v>
      </c>
      <c r="E113">
        <v>14</v>
      </c>
      <c r="F113">
        <v>2015</v>
      </c>
      <c r="G113" t="s">
        <v>12</v>
      </c>
      <c r="H113" t="str">
        <f>+CONCATENATE(A113," ",B113)</f>
        <v>Grey: Fifty Shades of Grey as Told by Christian (Fifty Shades of Grey Series) E L James</v>
      </c>
      <c r="I113" t="str">
        <f t="shared" si="1"/>
        <v>Bajo</v>
      </c>
    </row>
    <row r="114" spans="1:9" hidden="1" x14ac:dyDescent="0.25">
      <c r="A114" t="s">
        <v>202</v>
      </c>
      <c r="B114" t="s">
        <v>203</v>
      </c>
      <c r="C114">
        <v>4.8</v>
      </c>
      <c r="D114">
        <v>5476</v>
      </c>
      <c r="E114">
        <v>7</v>
      </c>
      <c r="F114">
        <v>2019</v>
      </c>
      <c r="G114" t="s">
        <v>9</v>
      </c>
      <c r="H114" t="str">
        <f>+CONCATENATE(A114," ",B114)</f>
        <v>Guts Raina Telgemeier</v>
      </c>
      <c r="I114" t="str">
        <f t="shared" si="1"/>
        <v>Bajo</v>
      </c>
    </row>
    <row r="115" spans="1:9" hidden="1" x14ac:dyDescent="0.25">
      <c r="A115" t="s">
        <v>204</v>
      </c>
      <c r="B115" t="s">
        <v>205</v>
      </c>
      <c r="C115">
        <v>4.9000000000000004</v>
      </c>
      <c r="D115">
        <v>5867</v>
      </c>
      <c r="E115">
        <v>54</v>
      </c>
      <c r="F115">
        <v>2016</v>
      </c>
      <c r="G115" t="s">
        <v>9</v>
      </c>
      <c r="H115" t="str">
        <f>+CONCATENATE(A115," ",B115)</f>
        <v>Hamilton: The Revolution Lin-Manuel Miranda</v>
      </c>
      <c r="I115" t="str">
        <f t="shared" si="1"/>
        <v>Medio</v>
      </c>
    </row>
    <row r="116" spans="1:9" hidden="1" x14ac:dyDescent="0.25">
      <c r="A116" t="s">
        <v>206</v>
      </c>
      <c r="B116" t="s">
        <v>207</v>
      </c>
      <c r="C116">
        <v>4.8</v>
      </c>
      <c r="D116">
        <v>4148</v>
      </c>
      <c r="E116">
        <v>11</v>
      </c>
      <c r="F116">
        <v>2013</v>
      </c>
      <c r="G116" t="s">
        <v>9</v>
      </c>
      <c r="H116" t="str">
        <f>+CONCATENATE(A116," ",B116)</f>
        <v>Happy, Happy, Happy: My Life and Legacy as the Duck Commander Phil Robertson</v>
      </c>
      <c r="I116" t="str">
        <f t="shared" si="1"/>
        <v>Bajo</v>
      </c>
    </row>
    <row r="117" spans="1:9" hidden="1" x14ac:dyDescent="0.25">
      <c r="A117" t="s">
        <v>208</v>
      </c>
      <c r="B117" t="s">
        <v>153</v>
      </c>
      <c r="C117">
        <v>4.9000000000000004</v>
      </c>
      <c r="D117">
        <v>19622</v>
      </c>
      <c r="E117">
        <v>30</v>
      </c>
      <c r="F117">
        <v>2016</v>
      </c>
      <c r="G117" t="s">
        <v>12</v>
      </c>
      <c r="H117" t="str">
        <f>+CONCATENATE(A117," ",B117)</f>
        <v>Harry Potter and the Chamber of Secrets: The Illustrated Edition (Harry Potter, Book 2) J.K. Rowling</v>
      </c>
      <c r="I117" t="str">
        <f t="shared" si="1"/>
        <v>Bajo</v>
      </c>
    </row>
    <row r="118" spans="1:9" hidden="1" x14ac:dyDescent="0.25">
      <c r="A118" t="s">
        <v>209</v>
      </c>
      <c r="B118" t="s">
        <v>153</v>
      </c>
      <c r="C118">
        <v>4</v>
      </c>
      <c r="D118">
        <v>23973</v>
      </c>
      <c r="E118">
        <v>12</v>
      </c>
      <c r="F118">
        <v>2016</v>
      </c>
      <c r="G118" t="s">
        <v>12</v>
      </c>
      <c r="H118" t="str">
        <f>+CONCATENATE(A118," ",B118)</f>
        <v>Harry Potter and the Cursed Child, Parts 1 &amp; 2, Special Rehearsal Edition Script J.K. Rowling</v>
      </c>
      <c r="I118" t="str">
        <f t="shared" si="1"/>
        <v>Bajo</v>
      </c>
    </row>
    <row r="119" spans="1:9" hidden="1" x14ac:dyDescent="0.25">
      <c r="A119" t="s">
        <v>210</v>
      </c>
      <c r="B119" t="s">
        <v>211</v>
      </c>
      <c r="C119">
        <v>4.9000000000000004</v>
      </c>
      <c r="D119">
        <v>7758</v>
      </c>
      <c r="E119">
        <v>18</v>
      </c>
      <c r="F119">
        <v>2019</v>
      </c>
      <c r="G119" t="s">
        <v>12</v>
      </c>
      <c r="H119" t="str">
        <f>+CONCATENATE(A119," ",B119)</f>
        <v>Harry Potter and the Goblet of Fire: The Illustrated Edition (Harry Potter, Book 4) (4) J. K. Rowling</v>
      </c>
      <c r="I119" t="str">
        <f t="shared" si="1"/>
        <v>Bajo</v>
      </c>
    </row>
    <row r="120" spans="1:9" hidden="1" x14ac:dyDescent="0.25">
      <c r="A120" t="s">
        <v>212</v>
      </c>
      <c r="B120" t="s">
        <v>153</v>
      </c>
      <c r="C120">
        <v>4.9000000000000004</v>
      </c>
      <c r="D120">
        <v>3146</v>
      </c>
      <c r="E120">
        <v>30</v>
      </c>
      <c r="F120">
        <v>2017</v>
      </c>
      <c r="G120" t="s">
        <v>12</v>
      </c>
      <c r="H120" t="str">
        <f>+CONCATENATE(A120," ",B120)</f>
        <v>Harry Potter and the Prisoner of Azkaban: The Illustrated Edition (Harry Potter, Book 3) J.K. Rowling</v>
      </c>
      <c r="I120" t="str">
        <f t="shared" si="1"/>
        <v>Bajo</v>
      </c>
    </row>
    <row r="121" spans="1:9" hidden="1" x14ac:dyDescent="0.25">
      <c r="A121" t="s">
        <v>213</v>
      </c>
      <c r="B121" t="s">
        <v>153</v>
      </c>
      <c r="C121">
        <v>4.9000000000000004</v>
      </c>
      <c r="D121">
        <v>10052</v>
      </c>
      <c r="E121">
        <v>22</v>
      </c>
      <c r="F121">
        <v>2016</v>
      </c>
      <c r="G121" t="s">
        <v>12</v>
      </c>
      <c r="H121" t="str">
        <f>+CONCATENATE(A121," ",B121)</f>
        <v>Harry Potter and the Sorcerer's Stone: The Illustrated Edition (Harry Potter, Book 1) J.K. Rowling</v>
      </c>
      <c r="I121" t="str">
        <f t="shared" si="1"/>
        <v>Bajo</v>
      </c>
    </row>
    <row r="122" spans="1:9" hidden="1" x14ac:dyDescent="0.25">
      <c r="A122" t="s">
        <v>214</v>
      </c>
      <c r="B122" t="s">
        <v>215</v>
      </c>
      <c r="C122">
        <v>4.7</v>
      </c>
      <c r="D122">
        <v>3564</v>
      </c>
      <c r="E122">
        <v>9</v>
      </c>
      <c r="F122">
        <v>2015</v>
      </c>
      <c r="G122" t="s">
        <v>9</v>
      </c>
      <c r="H122" t="str">
        <f>+CONCATENATE(A122," ",B122)</f>
        <v>Harry Potter Coloring Book Scholastic</v>
      </c>
      <c r="I122" t="str">
        <f t="shared" si="1"/>
        <v>Bajo</v>
      </c>
    </row>
    <row r="123" spans="1:9" hidden="1" x14ac:dyDescent="0.25">
      <c r="A123" t="s">
        <v>216</v>
      </c>
      <c r="B123" t="s">
        <v>211</v>
      </c>
      <c r="C123">
        <v>4.8</v>
      </c>
      <c r="D123">
        <v>13471</v>
      </c>
      <c r="E123">
        <v>52</v>
      </c>
      <c r="F123">
        <v>2016</v>
      </c>
      <c r="G123" t="s">
        <v>12</v>
      </c>
      <c r="H123" t="str">
        <f>+CONCATENATE(A123," ",B123)</f>
        <v>Harry Potter Paperback Box Set (Books 1-7) J. K. Rowling</v>
      </c>
      <c r="I123" t="str">
        <f t="shared" si="1"/>
        <v>Medio</v>
      </c>
    </row>
    <row r="124" spans="1:9" hidden="1" x14ac:dyDescent="0.25">
      <c r="A124" t="s">
        <v>217</v>
      </c>
      <c r="B124" t="s">
        <v>218</v>
      </c>
      <c r="C124">
        <v>4.8</v>
      </c>
      <c r="D124">
        <v>1930</v>
      </c>
      <c r="E124">
        <v>4</v>
      </c>
      <c r="F124">
        <v>2009</v>
      </c>
      <c r="G124" t="s">
        <v>9</v>
      </c>
      <c r="H124" t="str">
        <f>+CONCATENATE(A124," ",B124)</f>
        <v>Have a Little Faith: A True Story Mitch Albom</v>
      </c>
      <c r="I124" t="str">
        <f t="shared" si="1"/>
        <v>Bajo</v>
      </c>
    </row>
    <row r="125" spans="1:9" hidden="1" x14ac:dyDescent="0.25">
      <c r="A125" t="s">
        <v>219</v>
      </c>
      <c r="B125" t="s">
        <v>220</v>
      </c>
      <c r="C125">
        <v>4.7</v>
      </c>
      <c r="D125">
        <v>15779</v>
      </c>
      <c r="E125">
        <v>10</v>
      </c>
      <c r="F125">
        <v>2011</v>
      </c>
      <c r="G125" t="s">
        <v>9</v>
      </c>
      <c r="H125" t="str">
        <f>+CONCATENATE(A125," ",B125)</f>
        <v>Heaven is for Real: A Little Boy's Astounding Story of His Trip to Heaven and Back Todd Burpo</v>
      </c>
      <c r="I125" t="str">
        <f t="shared" si="1"/>
        <v>Bajo</v>
      </c>
    </row>
    <row r="126" spans="1:9" hidden="1" x14ac:dyDescent="0.25">
      <c r="A126" t="s">
        <v>221</v>
      </c>
      <c r="B126" t="s">
        <v>222</v>
      </c>
      <c r="C126">
        <v>4.4000000000000004</v>
      </c>
      <c r="D126">
        <v>15526</v>
      </c>
      <c r="E126">
        <v>14</v>
      </c>
      <c r="F126">
        <v>2016</v>
      </c>
      <c r="G126" t="s">
        <v>9</v>
      </c>
      <c r="H126" t="str">
        <f>+CONCATENATE(A126," ",B126)</f>
        <v>Hillbilly Elegy: A Memoir of a Family and Culture in Crisis J. D. Vance</v>
      </c>
      <c r="I126" t="str">
        <f t="shared" si="1"/>
        <v>Bajo</v>
      </c>
    </row>
    <row r="127" spans="1:9" hidden="1" x14ac:dyDescent="0.25">
      <c r="A127" t="s">
        <v>223</v>
      </c>
      <c r="B127" t="s">
        <v>224</v>
      </c>
      <c r="C127">
        <v>4.8</v>
      </c>
      <c r="D127">
        <v>3776</v>
      </c>
      <c r="E127">
        <v>22</v>
      </c>
      <c r="F127">
        <v>2018</v>
      </c>
      <c r="G127" t="s">
        <v>9</v>
      </c>
      <c r="H127" t="str">
        <f>+CONCATENATE(A127," ",B127)</f>
        <v>Homebody: A Guide to Creating Spaces You Never Want to Leave Joanna Gaines</v>
      </c>
      <c r="I127" t="str">
        <f t="shared" si="1"/>
        <v>Bajo</v>
      </c>
    </row>
    <row r="128" spans="1:9" hidden="1" x14ac:dyDescent="0.25">
      <c r="A128" t="s">
        <v>225</v>
      </c>
      <c r="B128" t="s">
        <v>226</v>
      </c>
      <c r="C128">
        <v>4.7</v>
      </c>
      <c r="D128">
        <v>25001</v>
      </c>
      <c r="E128">
        <v>11</v>
      </c>
      <c r="F128">
        <v>2014</v>
      </c>
      <c r="G128" t="s">
        <v>9</v>
      </c>
      <c r="H128" t="str">
        <f>+CONCATENATE(A128," ",B128)</f>
        <v>How to Win Friends &amp; Influence People Dale Carnegie</v>
      </c>
      <c r="I128" t="str">
        <f t="shared" si="1"/>
        <v>Bajo</v>
      </c>
    </row>
    <row r="129" spans="1:9" hidden="1" x14ac:dyDescent="0.25">
      <c r="A129" t="s">
        <v>227</v>
      </c>
      <c r="B129" t="s">
        <v>228</v>
      </c>
      <c r="C129">
        <v>4.3</v>
      </c>
      <c r="D129">
        <v>5272</v>
      </c>
      <c r="E129">
        <v>16</v>
      </c>
      <c r="F129">
        <v>2019</v>
      </c>
      <c r="G129" t="s">
        <v>9</v>
      </c>
      <c r="H129" t="str">
        <f>+CONCATENATE(A129," ",B129)</f>
        <v>Howard Stern Comes Again Howard Stern</v>
      </c>
      <c r="I129" t="str">
        <f t="shared" si="1"/>
        <v>Bajo</v>
      </c>
    </row>
    <row r="130" spans="1:9" hidden="1" x14ac:dyDescent="0.25">
      <c r="A130" t="s">
        <v>229</v>
      </c>
      <c r="B130" t="s">
        <v>230</v>
      </c>
      <c r="C130">
        <v>4.8</v>
      </c>
      <c r="D130">
        <v>3490</v>
      </c>
      <c r="E130">
        <v>15</v>
      </c>
      <c r="F130">
        <v>2013</v>
      </c>
      <c r="G130" t="s">
        <v>9</v>
      </c>
      <c r="H130" t="str">
        <f>+CONCATENATE(A130," ",B130)</f>
        <v>Humans of New York Brandon Stanton</v>
      </c>
      <c r="I130" t="str">
        <f t="shared" si="1"/>
        <v>Bajo</v>
      </c>
    </row>
    <row r="131" spans="1:9" hidden="1" x14ac:dyDescent="0.25">
      <c r="A131" t="s">
        <v>231</v>
      </c>
      <c r="B131" t="s">
        <v>230</v>
      </c>
      <c r="C131">
        <v>4.9000000000000004</v>
      </c>
      <c r="D131">
        <v>2812</v>
      </c>
      <c r="E131">
        <v>17</v>
      </c>
      <c r="F131">
        <v>2015</v>
      </c>
      <c r="G131" t="s">
        <v>9</v>
      </c>
      <c r="H131" t="str">
        <f>+CONCATENATE(A131," ",B131)</f>
        <v>Humans of New York : Stories Brandon Stanton</v>
      </c>
      <c r="I131" t="str">
        <f t="shared" si="1"/>
        <v>Bajo</v>
      </c>
    </row>
    <row r="132" spans="1:9" hidden="1" x14ac:dyDescent="0.25">
      <c r="A132" t="s">
        <v>232</v>
      </c>
      <c r="B132" t="s">
        <v>233</v>
      </c>
      <c r="C132">
        <v>4.7</v>
      </c>
      <c r="D132">
        <v>4896</v>
      </c>
      <c r="E132">
        <v>17</v>
      </c>
      <c r="F132">
        <v>2013</v>
      </c>
      <c r="G132" t="s">
        <v>9</v>
      </c>
      <c r="H132" t="str">
        <f>+CONCATENATE(A132," ",B132)</f>
        <v>Hyperbole and a Half: Unfortunate Situations, Flawed Coping Mechanisms, Mayhem, and Other Things That Happened Allie Brosh</v>
      </c>
      <c r="I132" t="str">
        <f t="shared" ref="I132:I195" si="2">+IF(E132&lt;=35,"Bajo",IF(E132&lt;=70,"Medio","Alto"))</f>
        <v>Bajo</v>
      </c>
    </row>
    <row r="133" spans="1:9" hidden="1" x14ac:dyDescent="0.25">
      <c r="A133" t="s">
        <v>234</v>
      </c>
      <c r="B133" t="s">
        <v>235</v>
      </c>
      <c r="C133">
        <v>4.8</v>
      </c>
      <c r="D133">
        <v>9737</v>
      </c>
      <c r="E133">
        <v>7</v>
      </c>
      <c r="F133">
        <v>2019</v>
      </c>
      <c r="G133" t="s">
        <v>9</v>
      </c>
      <c r="H133" t="str">
        <f>+CONCATENATE(A133," ",B133)</f>
        <v>I Am Confident, Brave &amp; Beautiful: A Coloring Book for Girls Hopscotch Girls</v>
      </c>
      <c r="I133" t="str">
        <f t="shared" si="2"/>
        <v>Bajo</v>
      </c>
    </row>
    <row r="134" spans="1:9" hidden="1" x14ac:dyDescent="0.25">
      <c r="A134" t="s">
        <v>236</v>
      </c>
      <c r="B134" t="s">
        <v>237</v>
      </c>
      <c r="C134">
        <v>4.5999999999999996</v>
      </c>
      <c r="D134">
        <v>1320</v>
      </c>
      <c r="E134">
        <v>7</v>
      </c>
      <c r="F134">
        <v>2009</v>
      </c>
      <c r="G134" t="s">
        <v>12</v>
      </c>
      <c r="H134" t="str">
        <f>+CONCATENATE(A134," ",B134)</f>
        <v>I, Alex Cross James Patterson</v>
      </c>
      <c r="I134" t="str">
        <f t="shared" si="2"/>
        <v>Bajo</v>
      </c>
    </row>
    <row r="135" spans="1:9" hidden="1" x14ac:dyDescent="0.25">
      <c r="A135" t="s">
        <v>238</v>
      </c>
      <c r="B135" t="s">
        <v>239</v>
      </c>
      <c r="C135">
        <v>4.8</v>
      </c>
      <c r="D135">
        <v>16643</v>
      </c>
      <c r="E135">
        <v>4</v>
      </c>
      <c r="F135">
        <v>2017</v>
      </c>
      <c r="G135" t="s">
        <v>12</v>
      </c>
      <c r="H135" t="str">
        <f>+CONCATENATE(A135," ",B135)</f>
        <v>If Animals Kissed Good Night Ann Whitford Paul</v>
      </c>
      <c r="I135" t="str">
        <f t="shared" si="2"/>
        <v>Bajo</v>
      </c>
    </row>
    <row r="136" spans="1:9" hidden="1" x14ac:dyDescent="0.25">
      <c r="A136" t="s">
        <v>240</v>
      </c>
      <c r="B136" t="s">
        <v>241</v>
      </c>
      <c r="C136">
        <v>4.3</v>
      </c>
      <c r="D136">
        <v>7153</v>
      </c>
      <c r="E136">
        <v>9</v>
      </c>
      <c r="F136">
        <v>2014</v>
      </c>
      <c r="G136" t="s">
        <v>12</v>
      </c>
      <c r="H136" t="str">
        <f>+CONCATENATE(A136," ",B136)</f>
        <v>If I Stay Gayle Forman</v>
      </c>
      <c r="I136" t="str">
        <f t="shared" si="2"/>
        <v>Bajo</v>
      </c>
    </row>
    <row r="137" spans="1:9" hidden="1" x14ac:dyDescent="0.25">
      <c r="A137" t="s">
        <v>242</v>
      </c>
      <c r="B137" t="s">
        <v>243</v>
      </c>
      <c r="C137">
        <v>4.4000000000000004</v>
      </c>
      <c r="D137">
        <v>4571</v>
      </c>
      <c r="E137">
        <v>21</v>
      </c>
      <c r="F137">
        <v>2011</v>
      </c>
      <c r="G137" t="s">
        <v>9</v>
      </c>
      <c r="H137" t="str">
        <f>+CONCATENATE(A137," ",B137)</f>
        <v>In the Garden of Beasts: Love, Terror, and an American Family in Hitler's Berlin Eric Larson</v>
      </c>
      <c r="I137" t="str">
        <f t="shared" si="2"/>
        <v>Bajo</v>
      </c>
    </row>
    <row r="138" spans="1:9" hidden="1" x14ac:dyDescent="0.25">
      <c r="A138" t="s">
        <v>244</v>
      </c>
      <c r="B138" t="s">
        <v>245</v>
      </c>
      <c r="C138">
        <v>4.0999999999999996</v>
      </c>
      <c r="D138">
        <v>29651</v>
      </c>
      <c r="E138">
        <v>14</v>
      </c>
      <c r="F138">
        <v>2013</v>
      </c>
      <c r="G138" t="s">
        <v>12</v>
      </c>
      <c r="H138" t="str">
        <f>+CONCATENATE(A138," ",B138)</f>
        <v>Inferno Dan Brown</v>
      </c>
      <c r="I138" t="str">
        <f t="shared" si="2"/>
        <v>Bajo</v>
      </c>
    </row>
    <row r="139" spans="1:9" hidden="1" x14ac:dyDescent="0.25">
      <c r="A139" t="s">
        <v>246</v>
      </c>
      <c r="B139" t="s">
        <v>247</v>
      </c>
      <c r="C139">
        <v>4.5999999999999996</v>
      </c>
      <c r="D139">
        <v>5299</v>
      </c>
      <c r="E139">
        <v>20</v>
      </c>
      <c r="F139">
        <v>2011</v>
      </c>
      <c r="G139" t="s">
        <v>12</v>
      </c>
      <c r="H139" t="str">
        <f>+CONCATENATE(A139," ",B139)</f>
        <v>Inheritance: Book IV (Inheritance Cycle) Christopher Paolini</v>
      </c>
      <c r="I139" t="str">
        <f t="shared" si="2"/>
        <v>Bajo</v>
      </c>
    </row>
    <row r="140" spans="1:9" hidden="1" x14ac:dyDescent="0.25">
      <c r="A140" t="s">
        <v>248</v>
      </c>
      <c r="B140" t="s">
        <v>249</v>
      </c>
      <c r="C140">
        <v>4.4000000000000004</v>
      </c>
      <c r="D140">
        <v>7396</v>
      </c>
      <c r="E140">
        <v>13</v>
      </c>
      <c r="F140">
        <v>2019</v>
      </c>
      <c r="G140" t="s">
        <v>9</v>
      </c>
      <c r="H140" t="str">
        <f>+CONCATENATE(A140," ",B140)</f>
        <v>Instant Pot Pressure Cooker Cookbook: 500 Everyday Recipes for Beginners and Advanced Users. Try Easy and Healthy… Jennifer Smith</v>
      </c>
      <c r="I140" t="str">
        <f t="shared" si="2"/>
        <v>Bajo</v>
      </c>
    </row>
    <row r="141" spans="1:9" hidden="1" x14ac:dyDescent="0.25">
      <c r="A141" t="s">
        <v>250</v>
      </c>
      <c r="B141" t="s">
        <v>251</v>
      </c>
      <c r="C141">
        <v>4.8</v>
      </c>
      <c r="D141">
        <v>7062</v>
      </c>
      <c r="E141">
        <v>12</v>
      </c>
      <c r="F141">
        <v>2019</v>
      </c>
      <c r="G141" t="s">
        <v>9</v>
      </c>
      <c r="H141" t="str">
        <f>+CONCATENATE(A141," ",B141)</f>
        <v>It's Not Supposed to Be This Way: Finding Unexpected Strength When Disappointments Leave You Shattered Lysa TerKeurst</v>
      </c>
      <c r="I141" t="str">
        <f t="shared" si="2"/>
        <v>Bajo</v>
      </c>
    </row>
    <row r="142" spans="1:9" hidden="1" x14ac:dyDescent="0.25">
      <c r="A142" t="s">
        <v>252</v>
      </c>
      <c r="B142" t="s">
        <v>253</v>
      </c>
      <c r="C142">
        <v>4.9000000000000004</v>
      </c>
      <c r="D142">
        <v>19576</v>
      </c>
      <c r="E142">
        <v>8</v>
      </c>
      <c r="F142">
        <v>2011</v>
      </c>
      <c r="G142" t="s">
        <v>9</v>
      </c>
      <c r="H142" t="str">
        <f>+CONCATENATE(A142," ",B142)</f>
        <v>Jesus Calling: Enjoying Peace in His Presence (with Scripture References) Sarah Young</v>
      </c>
      <c r="I142" t="str">
        <f t="shared" si="2"/>
        <v>Bajo</v>
      </c>
    </row>
    <row r="143" spans="1:9" hidden="1" x14ac:dyDescent="0.25">
      <c r="A143" t="s">
        <v>254</v>
      </c>
      <c r="B143" t="s">
        <v>168</v>
      </c>
      <c r="C143">
        <v>4.5999999999999996</v>
      </c>
      <c r="D143">
        <v>978</v>
      </c>
      <c r="E143">
        <v>0</v>
      </c>
      <c r="F143">
        <v>2014</v>
      </c>
      <c r="G143" t="s">
        <v>12</v>
      </c>
      <c r="H143" t="str">
        <f>+CONCATENATE(A143," ",B143)</f>
        <v>JOURNEY TO THE ICE P RH Disney</v>
      </c>
      <c r="I143" t="str">
        <f t="shared" si="2"/>
        <v>Bajo</v>
      </c>
    </row>
    <row r="144" spans="1:9" hidden="1" x14ac:dyDescent="0.25">
      <c r="A144" t="s">
        <v>255</v>
      </c>
      <c r="B144" t="s">
        <v>11</v>
      </c>
      <c r="C144">
        <v>4.5</v>
      </c>
      <c r="D144">
        <v>4748</v>
      </c>
      <c r="E144">
        <v>12</v>
      </c>
      <c r="F144">
        <v>2013</v>
      </c>
      <c r="G144" t="s">
        <v>12</v>
      </c>
      <c r="H144" t="str">
        <f>+CONCATENATE(A144," ",B144)</f>
        <v>Joyland (Hard Case Crime) Stephen King</v>
      </c>
      <c r="I144" t="str">
        <f t="shared" si="2"/>
        <v>Bajo</v>
      </c>
    </row>
    <row r="145" spans="1:9" hidden="1" x14ac:dyDescent="0.25">
      <c r="A145" t="s">
        <v>256</v>
      </c>
      <c r="B145" t="s">
        <v>257</v>
      </c>
      <c r="C145">
        <v>4.5999999999999996</v>
      </c>
      <c r="D145">
        <v>8393</v>
      </c>
      <c r="E145">
        <v>17</v>
      </c>
      <c r="F145">
        <v>2017</v>
      </c>
      <c r="G145" t="s">
        <v>9</v>
      </c>
      <c r="H145" t="str">
        <f>+CONCATENATE(A145," ",B145)</f>
        <v>Killers of the Flower Moon: The Osage Murders and the Birth of the FBI David Grann</v>
      </c>
      <c r="I145" t="str">
        <f t="shared" si="2"/>
        <v>Bajo</v>
      </c>
    </row>
    <row r="146" spans="1:9" hidden="1" x14ac:dyDescent="0.25">
      <c r="A146" t="s">
        <v>258</v>
      </c>
      <c r="B146" t="s">
        <v>259</v>
      </c>
      <c r="C146">
        <v>4.5</v>
      </c>
      <c r="D146">
        <v>11391</v>
      </c>
      <c r="E146">
        <v>12</v>
      </c>
      <c r="F146">
        <v>2013</v>
      </c>
      <c r="G146" t="s">
        <v>9</v>
      </c>
      <c r="H146" t="str">
        <f>+CONCATENATE(A146," ",B146)</f>
        <v>Killing Jesus (Bill O'Reilly's Killing Series) Bill O'Reilly</v>
      </c>
      <c r="I146" t="str">
        <f t="shared" si="2"/>
        <v>Bajo</v>
      </c>
    </row>
    <row r="147" spans="1:9" hidden="1" x14ac:dyDescent="0.25">
      <c r="A147" t="s">
        <v>260</v>
      </c>
      <c r="B147" t="s">
        <v>259</v>
      </c>
      <c r="C147">
        <v>4.5999999999999996</v>
      </c>
      <c r="D147">
        <v>8634</v>
      </c>
      <c r="E147">
        <v>25</v>
      </c>
      <c r="F147">
        <v>2012</v>
      </c>
      <c r="G147" t="s">
        <v>9</v>
      </c>
      <c r="H147" t="str">
        <f>+CONCATENATE(A147," ",B147)</f>
        <v>Killing Kennedy: The End of Camelot Bill O'Reilly</v>
      </c>
      <c r="I147" t="str">
        <f t="shared" si="2"/>
        <v>Bajo</v>
      </c>
    </row>
    <row r="148" spans="1:9" hidden="1" x14ac:dyDescent="0.25">
      <c r="A148" t="s">
        <v>261</v>
      </c>
      <c r="B148" t="s">
        <v>259</v>
      </c>
      <c r="C148">
        <v>4.7</v>
      </c>
      <c r="D148">
        <v>9342</v>
      </c>
      <c r="E148">
        <v>10</v>
      </c>
      <c r="F148">
        <v>2011</v>
      </c>
      <c r="G148" t="s">
        <v>9</v>
      </c>
      <c r="H148" t="str">
        <f>+CONCATENATE(A148," ",B148)</f>
        <v>Killing Lincoln: The Shocking Assassination that Changed America Forever (Bill O'Reilly's Killing Series) Bill O'Reilly</v>
      </c>
      <c r="I148" t="str">
        <f t="shared" si="2"/>
        <v>Bajo</v>
      </c>
    </row>
    <row r="149" spans="1:9" hidden="1" x14ac:dyDescent="0.25">
      <c r="A149" t="s">
        <v>262</v>
      </c>
      <c r="B149" t="s">
        <v>259</v>
      </c>
      <c r="C149">
        <v>4.5999999999999996</v>
      </c>
      <c r="D149">
        <v>10927</v>
      </c>
      <c r="E149">
        <v>6</v>
      </c>
      <c r="F149">
        <v>2014</v>
      </c>
      <c r="G149" t="s">
        <v>9</v>
      </c>
      <c r="H149" t="str">
        <f>+CONCATENATE(A149," ",B149)</f>
        <v>Killing Patton: The Strange Death of World War II's Most Audacious General (Bill O'Reilly's Killing Series) Bill O'Reilly</v>
      </c>
      <c r="I149" t="str">
        <f t="shared" si="2"/>
        <v>Bajo</v>
      </c>
    </row>
    <row r="150" spans="1:9" hidden="1" x14ac:dyDescent="0.25">
      <c r="A150" t="s">
        <v>263</v>
      </c>
      <c r="B150" t="s">
        <v>259</v>
      </c>
      <c r="C150">
        <v>4.5999999999999996</v>
      </c>
      <c r="D150">
        <v>5235</v>
      </c>
      <c r="E150">
        <v>5</v>
      </c>
      <c r="F150">
        <v>2015</v>
      </c>
      <c r="G150" t="s">
        <v>9</v>
      </c>
      <c r="H150" t="str">
        <f>+CONCATENATE(A150," ",B150)</f>
        <v>Killing Reagan: The Violent Assault That Changed a Presidency (Bill O'Reilly's Killing Series) Bill O'Reilly</v>
      </c>
      <c r="I150" t="str">
        <f t="shared" si="2"/>
        <v>Bajo</v>
      </c>
    </row>
    <row r="151" spans="1:9" hidden="1" x14ac:dyDescent="0.25">
      <c r="A151" t="s">
        <v>264</v>
      </c>
      <c r="B151" t="s">
        <v>259</v>
      </c>
      <c r="C151">
        <v>4.8</v>
      </c>
      <c r="D151">
        <v>8916</v>
      </c>
      <c r="E151">
        <v>6</v>
      </c>
      <c r="F151">
        <v>2016</v>
      </c>
      <c r="G151" t="s">
        <v>9</v>
      </c>
      <c r="H151" t="str">
        <f>+CONCATENATE(A151," ",B151)</f>
        <v>Killing the Rising Sun: How America Vanquished World War II Japan (Bill O'Reilly's Killing Series) Bill O'Reilly</v>
      </c>
      <c r="I151" t="str">
        <f t="shared" si="2"/>
        <v>Bajo</v>
      </c>
    </row>
    <row r="152" spans="1:9" hidden="1" x14ac:dyDescent="0.25">
      <c r="A152" t="s">
        <v>265</v>
      </c>
      <c r="B152" t="s">
        <v>266</v>
      </c>
      <c r="C152">
        <v>4.8</v>
      </c>
      <c r="D152">
        <v>2507</v>
      </c>
      <c r="E152">
        <v>8</v>
      </c>
      <c r="F152">
        <v>2018</v>
      </c>
      <c r="G152" t="s">
        <v>9</v>
      </c>
      <c r="H152" t="str">
        <f>+CONCATENATE(A152," ",B152)</f>
        <v>Kitchen Confidential Updated Edition: Adventures in the Culinary Underbelly (P.S.) Anthony Bourdain</v>
      </c>
      <c r="I152" t="str">
        <f t="shared" si="2"/>
        <v>Bajo</v>
      </c>
    </row>
    <row r="153" spans="1:9" hidden="1" x14ac:dyDescent="0.25">
      <c r="A153" t="s">
        <v>267</v>
      </c>
      <c r="B153" t="s">
        <v>268</v>
      </c>
      <c r="C153">
        <v>4.5</v>
      </c>
      <c r="D153">
        <v>3673</v>
      </c>
      <c r="E153">
        <v>4</v>
      </c>
      <c r="F153">
        <v>2013</v>
      </c>
      <c r="G153" t="s">
        <v>9</v>
      </c>
      <c r="H153" t="str">
        <f>+CONCATENATE(A153," ",B153)</f>
        <v>Knock-Knock Jokes for Kids Rob Elliott</v>
      </c>
      <c r="I153" t="str">
        <f t="shared" si="2"/>
        <v>Bajo</v>
      </c>
    </row>
    <row r="154" spans="1:9" hidden="1" x14ac:dyDescent="0.25">
      <c r="A154" t="s">
        <v>269</v>
      </c>
      <c r="B154" t="s">
        <v>270</v>
      </c>
      <c r="C154">
        <v>4.9000000000000004</v>
      </c>
      <c r="D154">
        <v>11881</v>
      </c>
      <c r="E154">
        <v>13</v>
      </c>
      <c r="F154">
        <v>2018</v>
      </c>
      <c r="G154" t="s">
        <v>12</v>
      </c>
      <c r="H154" t="str">
        <f>+CONCATENATE(A154," ",B154)</f>
        <v>Last Week Tonight with John Oliver Presents A Day in the Life of Marlon Bundo (Better Bundo Book, LGBT Childrens Book) Jill Twiss</v>
      </c>
      <c r="I154" t="str">
        <f t="shared" si="2"/>
        <v>Bajo</v>
      </c>
    </row>
    <row r="155" spans="1:9" hidden="1" x14ac:dyDescent="0.25">
      <c r="A155" t="s">
        <v>271</v>
      </c>
      <c r="B155" t="s">
        <v>268</v>
      </c>
      <c r="C155">
        <v>4.5999999999999996</v>
      </c>
      <c r="D155">
        <v>6990</v>
      </c>
      <c r="E155">
        <v>4</v>
      </c>
      <c r="F155">
        <v>2013</v>
      </c>
      <c r="G155" t="s">
        <v>9</v>
      </c>
      <c r="H155" t="str">
        <f>+CONCATENATE(A155," ",B155)</f>
        <v>Laugh-Out-Loud Jokes for Kids Rob Elliott</v>
      </c>
      <c r="I155" t="str">
        <f t="shared" si="2"/>
        <v>Bajo</v>
      </c>
    </row>
    <row r="156" spans="1:9" hidden="1" x14ac:dyDescent="0.25">
      <c r="A156" t="s">
        <v>272</v>
      </c>
      <c r="B156" t="s">
        <v>273</v>
      </c>
      <c r="C156">
        <v>4.5</v>
      </c>
      <c r="D156">
        <v>6132</v>
      </c>
      <c r="E156">
        <v>13</v>
      </c>
      <c r="F156">
        <v>2013</v>
      </c>
      <c r="G156" t="s">
        <v>9</v>
      </c>
      <c r="H156" t="str">
        <f>+CONCATENATE(A156," ",B156)</f>
        <v>Lean In: Women, Work, and the Will to Lead Sheryl Sandberg</v>
      </c>
      <c r="I156" t="str">
        <f t="shared" si="2"/>
        <v>Bajo</v>
      </c>
    </row>
    <row r="157" spans="1:9" hidden="1" x14ac:dyDescent="0.25">
      <c r="A157" t="s">
        <v>274</v>
      </c>
      <c r="B157" t="s">
        <v>275</v>
      </c>
      <c r="C157">
        <v>4.5</v>
      </c>
      <c r="D157">
        <v>3014</v>
      </c>
      <c r="E157">
        <v>21</v>
      </c>
      <c r="F157">
        <v>2017</v>
      </c>
      <c r="G157" t="s">
        <v>9</v>
      </c>
      <c r="H157" t="str">
        <f>+CONCATENATE(A157," ",B157)</f>
        <v>Leonardo da Vinci Walter Isaacson</v>
      </c>
      <c r="I157" t="str">
        <f t="shared" si="2"/>
        <v>Bajo</v>
      </c>
    </row>
    <row r="158" spans="1:9" hidden="1" x14ac:dyDescent="0.25">
      <c r="A158" t="s">
        <v>276</v>
      </c>
      <c r="B158" t="s">
        <v>277</v>
      </c>
      <c r="C158">
        <v>4.4000000000000004</v>
      </c>
      <c r="D158">
        <v>7550</v>
      </c>
      <c r="E158">
        <v>6</v>
      </c>
      <c r="F158">
        <v>2018</v>
      </c>
      <c r="G158" t="s">
        <v>9</v>
      </c>
      <c r="H158" t="str">
        <f>+CONCATENATE(A158," ",B158)</f>
        <v>Lettering and Modern Calligraphy: A Beginner's Guide: Learn Hand Lettering and Brush Lettering Paper Peony Press</v>
      </c>
      <c r="I158" t="str">
        <f t="shared" si="2"/>
        <v>Bajo</v>
      </c>
    </row>
    <row r="159" spans="1:9" hidden="1" x14ac:dyDescent="0.25">
      <c r="A159" t="s">
        <v>278</v>
      </c>
      <c r="B159" t="s">
        <v>279</v>
      </c>
      <c r="C159">
        <v>4.8</v>
      </c>
      <c r="D159">
        <v>3828</v>
      </c>
      <c r="E159">
        <v>15</v>
      </c>
      <c r="F159">
        <v>2009</v>
      </c>
      <c r="G159" t="s">
        <v>9</v>
      </c>
      <c r="H159" t="str">
        <f>+CONCATENATE(A159," ",B159)</f>
        <v>Liberty and Tyranny: A Conservative Manifesto Mark R. Levin</v>
      </c>
      <c r="I159" t="str">
        <f t="shared" si="2"/>
        <v>Bajo</v>
      </c>
    </row>
    <row r="160" spans="1:9" hidden="1" x14ac:dyDescent="0.25">
      <c r="A160" t="s">
        <v>280</v>
      </c>
      <c r="B160" t="s">
        <v>281</v>
      </c>
      <c r="C160">
        <v>4.5</v>
      </c>
      <c r="D160">
        <v>2752</v>
      </c>
      <c r="E160">
        <v>18</v>
      </c>
      <c r="F160">
        <v>2010</v>
      </c>
      <c r="G160" t="s">
        <v>9</v>
      </c>
      <c r="H160" t="str">
        <f>+CONCATENATE(A160," ",B160)</f>
        <v>Life Keith Richards</v>
      </c>
      <c r="I160" t="str">
        <f t="shared" si="2"/>
        <v>Bajo</v>
      </c>
    </row>
    <row r="161" spans="1:9" hidden="1" x14ac:dyDescent="0.25">
      <c r="A161" t="s">
        <v>282</v>
      </c>
      <c r="B161" t="s">
        <v>283</v>
      </c>
      <c r="C161">
        <v>4.0999999999999996</v>
      </c>
      <c r="D161">
        <v>1467</v>
      </c>
      <c r="E161">
        <v>10</v>
      </c>
      <c r="F161">
        <v>2010</v>
      </c>
      <c r="G161" t="s">
        <v>12</v>
      </c>
      <c r="H161" t="str">
        <f>+CONCATENATE(A161," ",B161)</f>
        <v>Little Bee: A Novel Chris Cleave</v>
      </c>
      <c r="I161" t="str">
        <f t="shared" si="2"/>
        <v>Bajo</v>
      </c>
    </row>
    <row r="162" spans="1:9" hidden="1" x14ac:dyDescent="0.25">
      <c r="A162" t="s">
        <v>284</v>
      </c>
      <c r="B162" t="s">
        <v>285</v>
      </c>
      <c r="C162">
        <v>4.9000000000000004</v>
      </c>
      <c r="D162">
        <v>1884</v>
      </c>
      <c r="E162">
        <v>0</v>
      </c>
      <c r="F162">
        <v>2014</v>
      </c>
      <c r="G162" t="s">
        <v>12</v>
      </c>
      <c r="H162" t="str">
        <f>+CONCATENATE(A162," ",B162)</f>
        <v>Little Blue Truck Alice Schertle</v>
      </c>
      <c r="I162" t="str">
        <f t="shared" si="2"/>
        <v>Bajo</v>
      </c>
    </row>
    <row r="163" spans="1:9" hidden="1" x14ac:dyDescent="0.25">
      <c r="A163" t="s">
        <v>286</v>
      </c>
      <c r="B163" t="s">
        <v>287</v>
      </c>
      <c r="C163">
        <v>4.5</v>
      </c>
      <c r="D163">
        <v>25706</v>
      </c>
      <c r="E163">
        <v>12</v>
      </c>
      <c r="F163">
        <v>2018</v>
      </c>
      <c r="G163" t="s">
        <v>12</v>
      </c>
      <c r="H163" t="str">
        <f>+CONCATENATE(A163," ",B163)</f>
        <v>Little Fires Everywhere Celeste Ng</v>
      </c>
      <c r="I163" t="str">
        <f t="shared" si="2"/>
        <v>Bajo</v>
      </c>
    </row>
    <row r="164" spans="1:9" hidden="1" x14ac:dyDescent="0.25">
      <c r="A164" t="s">
        <v>288</v>
      </c>
      <c r="B164" t="s">
        <v>289</v>
      </c>
      <c r="C164">
        <v>4.5</v>
      </c>
      <c r="D164">
        <v>8491</v>
      </c>
      <c r="E164">
        <v>7</v>
      </c>
      <c r="F164">
        <v>2014</v>
      </c>
      <c r="G164" t="s">
        <v>12</v>
      </c>
      <c r="H164" t="str">
        <f>+CONCATENATE(A164," ",B164)</f>
        <v>Looking for Alaska John Green</v>
      </c>
      <c r="I164" t="str">
        <f t="shared" si="2"/>
        <v>Bajo</v>
      </c>
    </row>
    <row r="165" spans="1:9" hidden="1" x14ac:dyDescent="0.25">
      <c r="A165" t="s">
        <v>290</v>
      </c>
      <c r="B165" t="s">
        <v>291</v>
      </c>
      <c r="C165">
        <v>4.2</v>
      </c>
      <c r="D165">
        <v>1649</v>
      </c>
      <c r="E165">
        <v>13</v>
      </c>
      <c r="F165">
        <v>2011</v>
      </c>
      <c r="G165" t="s">
        <v>9</v>
      </c>
      <c r="H165" t="str">
        <f>+CONCATENATE(A165," ",B165)</f>
        <v>Love Wins: A Book About Heaven, Hell, and the Fate of Every Person Who Ever Lived Rob Bell</v>
      </c>
      <c r="I165" t="str">
        <f t="shared" si="2"/>
        <v>Bajo</v>
      </c>
    </row>
    <row r="166" spans="1:9" hidden="1" x14ac:dyDescent="0.25">
      <c r="A166" t="s">
        <v>292</v>
      </c>
      <c r="B166" t="s">
        <v>293</v>
      </c>
      <c r="C166">
        <v>4.8</v>
      </c>
      <c r="D166">
        <v>18613</v>
      </c>
      <c r="E166">
        <v>5</v>
      </c>
      <c r="F166">
        <v>2014</v>
      </c>
      <c r="G166" t="s">
        <v>12</v>
      </c>
      <c r="H166" t="str">
        <f>+CONCATENATE(A166," ",B166)</f>
        <v>Love You Forever Robert Munsch</v>
      </c>
      <c r="I166" t="str">
        <f t="shared" si="2"/>
        <v>Bajo</v>
      </c>
    </row>
    <row r="167" spans="1:9" hidden="1" x14ac:dyDescent="0.25">
      <c r="A167" t="s">
        <v>294</v>
      </c>
      <c r="B167" t="s">
        <v>224</v>
      </c>
      <c r="C167">
        <v>4.8</v>
      </c>
      <c r="D167">
        <v>9867</v>
      </c>
      <c r="E167">
        <v>16</v>
      </c>
      <c r="F167">
        <v>2018</v>
      </c>
      <c r="G167" t="s">
        <v>9</v>
      </c>
      <c r="H167" t="str">
        <f>+CONCATENATE(A167," ",B167)</f>
        <v>Magnolia Table: A Collection of Recipes for Gathering Joanna Gaines</v>
      </c>
      <c r="I167" t="str">
        <f t="shared" si="2"/>
        <v>Bajo</v>
      </c>
    </row>
    <row r="168" spans="1:9" hidden="1" x14ac:dyDescent="0.25">
      <c r="A168" t="s">
        <v>295</v>
      </c>
      <c r="B168" t="s">
        <v>64</v>
      </c>
      <c r="C168">
        <v>4.5</v>
      </c>
      <c r="D168">
        <v>1386</v>
      </c>
      <c r="E168">
        <v>20</v>
      </c>
      <c r="F168">
        <v>2014</v>
      </c>
      <c r="G168" t="s">
        <v>9</v>
      </c>
      <c r="H168" t="str">
        <f>+CONCATENATE(A168," ",B168)</f>
        <v>Make It Ahead: A Barefoot Contessa Cookbook Ina Garten</v>
      </c>
      <c r="I168" t="str">
        <f t="shared" si="2"/>
        <v>Bajo</v>
      </c>
    </row>
    <row r="169" spans="1:9" hidden="1" x14ac:dyDescent="0.25">
      <c r="A169" t="s">
        <v>296</v>
      </c>
      <c r="B169" t="s">
        <v>297</v>
      </c>
      <c r="C169">
        <v>4.7</v>
      </c>
      <c r="D169">
        <v>10199</v>
      </c>
      <c r="E169">
        <v>11</v>
      </c>
      <c r="F169">
        <v>2017</v>
      </c>
      <c r="G169" t="s">
        <v>9</v>
      </c>
      <c r="H169" t="str">
        <f>+CONCATENATE(A169," ",B169)</f>
        <v>Make Your Bed: Little Things That Can Change Your Life...And Maybe the World Admiral William H. McRaven</v>
      </c>
      <c r="I169" t="str">
        <f t="shared" si="2"/>
        <v>Bajo</v>
      </c>
    </row>
    <row r="170" spans="1:9" hidden="1" x14ac:dyDescent="0.25">
      <c r="A170" t="s">
        <v>298</v>
      </c>
      <c r="B170" t="s">
        <v>299</v>
      </c>
      <c r="C170">
        <v>4.8</v>
      </c>
      <c r="D170">
        <v>2926</v>
      </c>
      <c r="E170">
        <v>27</v>
      </c>
      <c r="F170">
        <v>2009</v>
      </c>
      <c r="G170" t="s">
        <v>9</v>
      </c>
      <c r="H170" t="str">
        <f>+CONCATENATE(A170," ",B170)</f>
        <v>Mastering the Art of French Cooking, Vol. 2 Julia Child</v>
      </c>
      <c r="I170" t="str">
        <f t="shared" si="2"/>
        <v>Bajo</v>
      </c>
    </row>
    <row r="171" spans="1:9" hidden="1" x14ac:dyDescent="0.25">
      <c r="A171" t="s">
        <v>300</v>
      </c>
      <c r="B171" t="s">
        <v>301</v>
      </c>
      <c r="C171">
        <v>4.7</v>
      </c>
      <c r="D171">
        <v>17739</v>
      </c>
      <c r="E171">
        <v>8</v>
      </c>
      <c r="F171">
        <v>2016</v>
      </c>
      <c r="G171" t="s">
        <v>9</v>
      </c>
      <c r="H171" t="str">
        <f>+CONCATENATE(A171," ",B171)</f>
        <v>Milk and Honey Rupi Kaur</v>
      </c>
      <c r="I171" t="str">
        <f t="shared" si="2"/>
        <v>Bajo</v>
      </c>
    </row>
    <row r="172" spans="1:9" hidden="1" x14ac:dyDescent="0.25">
      <c r="A172" t="s">
        <v>302</v>
      </c>
      <c r="B172" t="s">
        <v>303</v>
      </c>
      <c r="C172">
        <v>4.4000000000000004</v>
      </c>
      <c r="D172">
        <v>3113</v>
      </c>
      <c r="E172">
        <v>6</v>
      </c>
      <c r="F172">
        <v>2017</v>
      </c>
      <c r="G172" t="s">
        <v>9</v>
      </c>
      <c r="H172" t="str">
        <f>+CONCATENATE(A172," ",B172)</f>
        <v>Milk and Vine: Inspirational Quotes From Classic Vines Adam Gasiewski</v>
      </c>
      <c r="I172" t="str">
        <f t="shared" si="2"/>
        <v>Bajo</v>
      </c>
    </row>
    <row r="173" spans="1:9" hidden="1" x14ac:dyDescent="0.25">
      <c r="A173" t="s">
        <v>304</v>
      </c>
      <c r="B173" t="s">
        <v>305</v>
      </c>
      <c r="C173">
        <v>4.5999999999999996</v>
      </c>
      <c r="D173">
        <v>5542</v>
      </c>
      <c r="E173">
        <v>10</v>
      </c>
      <c r="F173">
        <v>2014</v>
      </c>
      <c r="G173" t="s">
        <v>9</v>
      </c>
      <c r="H173" t="str">
        <f>+CONCATENATE(A173," ",B173)</f>
        <v>Mindset: The New Psychology of Success Carol S. Dweck</v>
      </c>
      <c r="I173" t="str">
        <f t="shared" si="2"/>
        <v>Bajo</v>
      </c>
    </row>
    <row r="174" spans="1:9" hidden="1" x14ac:dyDescent="0.25">
      <c r="A174" t="s">
        <v>306</v>
      </c>
      <c r="B174" t="s">
        <v>88</v>
      </c>
      <c r="C174">
        <v>4.5</v>
      </c>
      <c r="D174">
        <v>26741</v>
      </c>
      <c r="E174">
        <v>8</v>
      </c>
      <c r="F174">
        <v>2010</v>
      </c>
      <c r="G174" t="s">
        <v>12</v>
      </c>
      <c r="H174" t="str">
        <f>+CONCATENATE(A174," ",B174)</f>
        <v>Mockingjay (The Hunger Games) Suzanne Collins</v>
      </c>
      <c r="I174" t="str">
        <f t="shared" si="2"/>
        <v>Bajo</v>
      </c>
    </row>
    <row r="175" spans="1:9" hidden="1" x14ac:dyDescent="0.25">
      <c r="A175" t="s">
        <v>307</v>
      </c>
      <c r="B175" t="s">
        <v>308</v>
      </c>
      <c r="C175">
        <v>4.8</v>
      </c>
      <c r="D175">
        <v>5347</v>
      </c>
      <c r="E175">
        <v>16</v>
      </c>
      <c r="F175">
        <v>2019</v>
      </c>
      <c r="G175" t="s">
        <v>9</v>
      </c>
      <c r="H175" t="str">
        <f>+CONCATENATE(A175," ",B175)</f>
        <v>National Geographic Kids Why?: Over 1,111 Answers to Everything Crispin Boyer</v>
      </c>
      <c r="I175" t="str">
        <f t="shared" si="2"/>
        <v>Bajo</v>
      </c>
    </row>
    <row r="176" spans="1:9" hidden="1" x14ac:dyDescent="0.25">
      <c r="A176" t="s">
        <v>309</v>
      </c>
      <c r="B176" t="s">
        <v>310</v>
      </c>
      <c r="C176">
        <v>4.8</v>
      </c>
      <c r="D176">
        <v>7866</v>
      </c>
      <c r="E176">
        <v>11</v>
      </c>
      <c r="F176">
        <v>2019</v>
      </c>
      <c r="G176" t="s">
        <v>9</v>
      </c>
      <c r="H176" t="str">
        <f>+CONCATENATE(A176," ",B176)</f>
        <v>National Geographic Little Kids First Big Book of Why (National Geographic Little Kids First Big Books) Amy Shields</v>
      </c>
      <c r="I176" t="str">
        <f t="shared" si="2"/>
        <v>Bajo</v>
      </c>
    </row>
    <row r="177" spans="1:9" hidden="1" x14ac:dyDescent="0.25">
      <c r="A177" t="s">
        <v>311</v>
      </c>
      <c r="B177" t="s">
        <v>75</v>
      </c>
      <c r="C177">
        <v>4.5999999999999996</v>
      </c>
      <c r="D177">
        <v>5680</v>
      </c>
      <c r="E177">
        <v>10</v>
      </c>
      <c r="F177">
        <v>2009</v>
      </c>
      <c r="G177" t="s">
        <v>12</v>
      </c>
      <c r="H177" t="str">
        <f>+CONCATENATE(A177," ",B177)</f>
        <v>New Moon (The Twilight Saga) Stephenie Meyer</v>
      </c>
      <c r="I177" t="str">
        <f t="shared" si="2"/>
        <v>Bajo</v>
      </c>
    </row>
    <row r="178" spans="1:9" hidden="1" x14ac:dyDescent="0.25">
      <c r="A178" t="s">
        <v>312</v>
      </c>
      <c r="B178" t="s">
        <v>313</v>
      </c>
      <c r="C178">
        <v>4.7</v>
      </c>
      <c r="D178">
        <v>5178</v>
      </c>
      <c r="E178">
        <v>9</v>
      </c>
      <c r="F178">
        <v>2016</v>
      </c>
      <c r="G178" t="s">
        <v>9</v>
      </c>
      <c r="H178" t="str">
        <f>+CONCATENATE(A178," ",B178)</f>
        <v>Night (Night) Elie Wiesel</v>
      </c>
      <c r="I178" t="str">
        <f t="shared" si="2"/>
        <v>Bajo</v>
      </c>
    </row>
    <row r="179" spans="1:9" hidden="1" x14ac:dyDescent="0.25">
      <c r="A179" t="s">
        <v>314</v>
      </c>
      <c r="B179" t="s">
        <v>315</v>
      </c>
      <c r="C179">
        <v>4.5999999999999996</v>
      </c>
      <c r="D179">
        <v>8093</v>
      </c>
      <c r="E179">
        <v>14</v>
      </c>
      <c r="F179">
        <v>2012</v>
      </c>
      <c r="G179" t="s">
        <v>9</v>
      </c>
      <c r="H179" t="str">
        <f>+CONCATENATE(A179," ",B179)</f>
        <v>No Easy Day: The Autobiography of a Navy Seal: The Firsthand Account of the Mission That Killed Osama Bin Laden Mark Owen</v>
      </c>
      <c r="I179" t="str">
        <f t="shared" si="2"/>
        <v>Bajo</v>
      </c>
    </row>
    <row r="180" spans="1:9" hidden="1" x14ac:dyDescent="0.25">
      <c r="A180" t="s">
        <v>316</v>
      </c>
      <c r="B180" t="s">
        <v>317</v>
      </c>
      <c r="C180">
        <v>4.9000000000000004</v>
      </c>
      <c r="D180">
        <v>3192</v>
      </c>
      <c r="E180">
        <v>22</v>
      </c>
      <c r="F180">
        <v>2017</v>
      </c>
      <c r="G180" t="s">
        <v>9</v>
      </c>
      <c r="H180" t="str">
        <f>+CONCATENATE(A180," ",B180)</f>
        <v>Obama: An Intimate Portrait Pete Souza</v>
      </c>
      <c r="I180" t="str">
        <f t="shared" si="2"/>
        <v>Bajo</v>
      </c>
    </row>
    <row r="181" spans="1:9" hidden="1" x14ac:dyDescent="0.25">
      <c r="A181" t="s">
        <v>318</v>
      </c>
      <c r="B181" t="s">
        <v>319</v>
      </c>
      <c r="C181">
        <v>4.9000000000000004</v>
      </c>
      <c r="D181">
        <v>21834</v>
      </c>
      <c r="E181">
        <v>8</v>
      </c>
      <c r="F181">
        <v>2012</v>
      </c>
      <c r="G181" t="s">
        <v>12</v>
      </c>
      <c r="H181" t="str">
        <f>+CONCATENATE(A181," ",B181)</f>
        <v>Oh, the Places You'll Go! Dr. Seuss</v>
      </c>
      <c r="I181" t="str">
        <f t="shared" si="2"/>
        <v>Bajo</v>
      </c>
    </row>
    <row r="182" spans="1:9" hidden="1" x14ac:dyDescent="0.25">
      <c r="A182" t="s">
        <v>320</v>
      </c>
      <c r="B182" t="s">
        <v>80</v>
      </c>
      <c r="C182">
        <v>4.8</v>
      </c>
      <c r="D182">
        <v>6169</v>
      </c>
      <c r="E182">
        <v>7</v>
      </c>
      <c r="F182">
        <v>2015</v>
      </c>
      <c r="G182" t="s">
        <v>12</v>
      </c>
      <c r="H182" t="str">
        <f>+CONCATENATE(A182," ",B182)</f>
        <v>Old School (Diary of a Wimpy Kid #10) Jeff Kinney</v>
      </c>
      <c r="I182" t="str">
        <f t="shared" si="2"/>
        <v>Bajo</v>
      </c>
    </row>
    <row r="183" spans="1:9" hidden="1" x14ac:dyDescent="0.25">
      <c r="A183" t="s">
        <v>321</v>
      </c>
      <c r="B183" t="s">
        <v>322</v>
      </c>
      <c r="C183">
        <v>4.2</v>
      </c>
      <c r="D183">
        <v>4519</v>
      </c>
      <c r="E183">
        <v>12</v>
      </c>
      <c r="F183">
        <v>2009</v>
      </c>
      <c r="G183" t="s">
        <v>12</v>
      </c>
      <c r="H183" t="str">
        <f>+CONCATENATE(A183," ",B183)</f>
        <v>Olive Kitteridge Elizabeth Strout</v>
      </c>
      <c r="I183" t="str">
        <f t="shared" si="2"/>
        <v>Bajo</v>
      </c>
    </row>
    <row r="184" spans="1:9" hidden="1" x14ac:dyDescent="0.25">
      <c r="A184" t="s">
        <v>323</v>
      </c>
      <c r="B184" t="s">
        <v>324</v>
      </c>
      <c r="C184">
        <v>4.5999999999999996</v>
      </c>
      <c r="D184">
        <v>3163</v>
      </c>
      <c r="E184">
        <v>13</v>
      </c>
      <c r="F184">
        <v>2011</v>
      </c>
      <c r="G184" t="s">
        <v>9</v>
      </c>
      <c r="H184" t="str">
        <f>+CONCATENATE(A184," ",B184)</f>
        <v>One Thousand Gifts: A Dare to Live Fully Right Where You Are Ann Voskamp</v>
      </c>
      <c r="I184" t="str">
        <f t="shared" si="2"/>
        <v>Bajo</v>
      </c>
    </row>
    <row r="185" spans="1:9" hidden="1" x14ac:dyDescent="0.25">
      <c r="A185" t="s">
        <v>325</v>
      </c>
      <c r="B185" t="s">
        <v>273</v>
      </c>
      <c r="C185">
        <v>4.5</v>
      </c>
      <c r="D185">
        <v>1831</v>
      </c>
      <c r="E185">
        <v>9</v>
      </c>
      <c r="F185">
        <v>2017</v>
      </c>
      <c r="G185" t="s">
        <v>9</v>
      </c>
      <c r="H185" t="str">
        <f>+CONCATENATE(A185," ",B185)</f>
        <v>Option B: Facing Adversity, Building Resilience, and Finding Joy Sheryl Sandberg</v>
      </c>
      <c r="I185" t="str">
        <f t="shared" si="2"/>
        <v>Bajo</v>
      </c>
    </row>
    <row r="186" spans="1:9" hidden="1" x14ac:dyDescent="0.25">
      <c r="A186" t="s">
        <v>326</v>
      </c>
      <c r="B186" t="s">
        <v>245</v>
      </c>
      <c r="C186">
        <v>4.3</v>
      </c>
      <c r="D186">
        <v>18904</v>
      </c>
      <c r="E186">
        <v>13</v>
      </c>
      <c r="F186">
        <v>2017</v>
      </c>
      <c r="G186" t="s">
        <v>12</v>
      </c>
      <c r="H186" t="str">
        <f>+CONCATENATE(A186," ",B186)</f>
        <v>Origin: A Novel (Robert Langdon) Dan Brown</v>
      </c>
      <c r="I186" t="str">
        <f t="shared" si="2"/>
        <v>Bajo</v>
      </c>
    </row>
    <row r="187" spans="1:9" hidden="1" x14ac:dyDescent="0.25">
      <c r="A187" t="s">
        <v>327</v>
      </c>
      <c r="B187" t="s">
        <v>328</v>
      </c>
      <c r="C187">
        <v>4.5999999999999996</v>
      </c>
      <c r="D187">
        <v>21930</v>
      </c>
      <c r="E187">
        <v>11</v>
      </c>
      <c r="F187">
        <v>2014</v>
      </c>
      <c r="G187" t="s">
        <v>12</v>
      </c>
      <c r="H187" t="str">
        <f>+CONCATENATE(A187," ",B187)</f>
        <v>Orphan Train Christina Baker Kline</v>
      </c>
      <c r="I187" t="str">
        <f t="shared" si="2"/>
        <v>Bajo</v>
      </c>
    </row>
    <row r="188" spans="1:9" hidden="1" x14ac:dyDescent="0.25">
      <c r="A188" t="s">
        <v>329</v>
      </c>
      <c r="B188" t="s">
        <v>103</v>
      </c>
      <c r="C188">
        <v>4.5999999999999996</v>
      </c>
      <c r="D188">
        <v>10426</v>
      </c>
      <c r="E188">
        <v>20</v>
      </c>
      <c r="F188">
        <v>2009</v>
      </c>
      <c r="G188" t="s">
        <v>9</v>
      </c>
      <c r="H188" t="str">
        <f>+CONCATENATE(A188," ",B188)</f>
        <v>Outliers: The Story of Success Malcolm Gladwell</v>
      </c>
      <c r="I188" t="str">
        <f t="shared" si="2"/>
        <v>Bajo</v>
      </c>
    </row>
    <row r="189" spans="1:9" hidden="1" x14ac:dyDescent="0.25">
      <c r="A189" t="s">
        <v>330</v>
      </c>
      <c r="B189" t="s">
        <v>331</v>
      </c>
      <c r="C189">
        <v>4.7</v>
      </c>
      <c r="D189">
        <v>10820</v>
      </c>
      <c r="E189">
        <v>5</v>
      </c>
      <c r="F189">
        <v>2018</v>
      </c>
      <c r="G189" t="s">
        <v>9</v>
      </c>
      <c r="H189" t="str">
        <f>+CONCATENATE(A189," ",B189)</f>
        <v>P is for Potty! (Sesame Street) (Lift-the-Flap) Naomi Kleinberg</v>
      </c>
      <c r="I189" t="str">
        <f t="shared" si="2"/>
        <v>Bajo</v>
      </c>
    </row>
    <row r="190" spans="1:9" hidden="1" x14ac:dyDescent="0.25">
      <c r="A190" t="s">
        <v>332</v>
      </c>
      <c r="B190" t="s">
        <v>333</v>
      </c>
      <c r="C190">
        <v>4.8</v>
      </c>
      <c r="D190">
        <v>548</v>
      </c>
      <c r="E190">
        <v>2</v>
      </c>
      <c r="F190">
        <v>2010</v>
      </c>
      <c r="G190" t="s">
        <v>12</v>
      </c>
      <c r="H190" t="str">
        <f>+CONCATENATE(A190," ",B190)</f>
        <v>Percy Jackson and the Olympians Paperback Boxed Set (Books 1-3) Rick Riordan</v>
      </c>
      <c r="I190" t="str">
        <f t="shared" si="2"/>
        <v>Bajo</v>
      </c>
    </row>
    <row r="191" spans="1:9" hidden="1" x14ac:dyDescent="0.25">
      <c r="A191" t="s">
        <v>334</v>
      </c>
      <c r="B191" t="s">
        <v>335</v>
      </c>
      <c r="C191">
        <v>4.8</v>
      </c>
      <c r="D191">
        <v>16990</v>
      </c>
      <c r="E191">
        <v>27</v>
      </c>
      <c r="F191">
        <v>2017</v>
      </c>
      <c r="G191" t="s">
        <v>12</v>
      </c>
      <c r="H191" t="str">
        <f>+CONCATENATE(A191," ",B191)</f>
        <v>Player's Handbook (Dungeons &amp; Dragons) Wizards RPG Team</v>
      </c>
      <c r="I191" t="str">
        <f t="shared" si="2"/>
        <v>Bajo</v>
      </c>
    </row>
    <row r="192" spans="1:9" hidden="1" x14ac:dyDescent="0.25">
      <c r="A192" t="s">
        <v>336</v>
      </c>
      <c r="B192" t="s">
        <v>215</v>
      </c>
      <c r="C192">
        <v>4.7</v>
      </c>
      <c r="D192">
        <v>3503</v>
      </c>
      <c r="E192">
        <v>9</v>
      </c>
      <c r="F192">
        <v>2016</v>
      </c>
      <c r="G192" t="s">
        <v>12</v>
      </c>
      <c r="H192" t="str">
        <f>+CONCATENATE(A192," ",B192)</f>
        <v>Pokémon Deluxe Essential Handbook: The Need-to-Know Stats and Facts on Over 700 Pokémon Scholastic</v>
      </c>
      <c r="I192" t="str">
        <f t="shared" si="2"/>
        <v>Bajo</v>
      </c>
    </row>
    <row r="193" spans="1:9" hidden="1" x14ac:dyDescent="0.25">
      <c r="A193" t="s">
        <v>337</v>
      </c>
      <c r="B193" t="s">
        <v>338</v>
      </c>
      <c r="C193">
        <v>4.3</v>
      </c>
      <c r="D193">
        <v>13616</v>
      </c>
      <c r="E193">
        <v>10</v>
      </c>
      <c r="F193">
        <v>2012</v>
      </c>
      <c r="G193" t="s">
        <v>9</v>
      </c>
      <c r="H193" t="str">
        <f>+CONCATENATE(A193," ",B193)</f>
        <v>Proof of Heaven: A Neurosurgeon's Journey into the Afterlife Eben Alexander</v>
      </c>
      <c r="I193" t="str">
        <f t="shared" si="2"/>
        <v>Bajo</v>
      </c>
    </row>
    <row r="194" spans="1:9" hidden="1" x14ac:dyDescent="0.25">
      <c r="A194" t="s">
        <v>339</v>
      </c>
      <c r="B194" t="s">
        <v>340</v>
      </c>
      <c r="C194">
        <v>4.5</v>
      </c>
      <c r="D194">
        <v>8580</v>
      </c>
      <c r="E194">
        <v>46</v>
      </c>
      <c r="F194">
        <v>2009</v>
      </c>
      <c r="G194" t="s">
        <v>9</v>
      </c>
      <c r="H194" t="str">
        <f>+CONCATENATE(A194," ",B194)</f>
        <v>Publication Manual of the American Psychological Association, 6th Edition American Psychological Association</v>
      </c>
      <c r="I194" t="str">
        <f t="shared" si="2"/>
        <v>Medio</v>
      </c>
    </row>
    <row r="195" spans="1:9" hidden="1" x14ac:dyDescent="0.25">
      <c r="A195" t="s">
        <v>341</v>
      </c>
      <c r="B195" t="s">
        <v>342</v>
      </c>
      <c r="C195">
        <v>4.8</v>
      </c>
      <c r="D195">
        <v>4757</v>
      </c>
      <c r="E195">
        <v>4</v>
      </c>
      <c r="F195">
        <v>2017</v>
      </c>
      <c r="G195" t="s">
        <v>12</v>
      </c>
      <c r="H195" t="str">
        <f>+CONCATENATE(A195," ",B195)</f>
        <v>Puppy Birthday to You! (Paw Patrol) (Little Golden Book) Golden Books</v>
      </c>
      <c r="I195" t="str">
        <f t="shared" si="2"/>
        <v>Bajo</v>
      </c>
    </row>
    <row r="196" spans="1:9" hidden="1" x14ac:dyDescent="0.25">
      <c r="A196" t="s">
        <v>343</v>
      </c>
      <c r="B196" t="s">
        <v>344</v>
      </c>
      <c r="C196">
        <v>4.5999999999999996</v>
      </c>
      <c r="D196">
        <v>10009</v>
      </c>
      <c r="E196">
        <v>20</v>
      </c>
      <c r="F196">
        <v>2012</v>
      </c>
      <c r="G196" t="s">
        <v>9</v>
      </c>
      <c r="H196" t="str">
        <f>+CONCATENATE(A196," ",B196)</f>
        <v>Quiet: The Power of Introverts in a World That Can't Stop Talking Susan Cain</v>
      </c>
      <c r="I196" t="str">
        <f t="shared" ref="I196:I259" si="3">+IF(E196&lt;=35,"Bajo",IF(E196&lt;=70,"Medio","Alto"))</f>
        <v>Bajo</v>
      </c>
    </row>
    <row r="197" spans="1:9" hidden="1" x14ac:dyDescent="0.25">
      <c r="A197" t="s">
        <v>345</v>
      </c>
      <c r="B197" t="s">
        <v>346</v>
      </c>
      <c r="C197">
        <v>4.7</v>
      </c>
      <c r="D197">
        <v>1985</v>
      </c>
      <c r="E197">
        <v>9</v>
      </c>
      <c r="F197">
        <v>2010</v>
      </c>
      <c r="G197" t="s">
        <v>9</v>
      </c>
      <c r="H197" t="str">
        <f>+CONCATENATE(A197," ",B197)</f>
        <v>Radical: Taking Back Your Faith from the American Dream David Platt</v>
      </c>
      <c r="I197" t="str">
        <f t="shared" si="3"/>
        <v>Bajo</v>
      </c>
    </row>
    <row r="198" spans="1:9" hidden="1" x14ac:dyDescent="0.25">
      <c r="A198" t="s">
        <v>347</v>
      </c>
      <c r="B198" t="s">
        <v>348</v>
      </c>
      <c r="C198">
        <v>4.5999999999999996</v>
      </c>
      <c r="D198">
        <v>22536</v>
      </c>
      <c r="E198">
        <v>12</v>
      </c>
      <c r="F198">
        <v>2017</v>
      </c>
      <c r="G198" t="s">
        <v>12</v>
      </c>
      <c r="H198" t="str">
        <f>+CONCATENATE(A198," ",B198)</f>
        <v>Ready Player One: A Novel Ernest Cline</v>
      </c>
      <c r="I198" t="str">
        <f t="shared" si="3"/>
        <v>Bajo</v>
      </c>
    </row>
    <row r="199" spans="1:9" hidden="1" x14ac:dyDescent="0.25">
      <c r="A199" t="s">
        <v>349</v>
      </c>
      <c r="B199" t="s">
        <v>350</v>
      </c>
      <c r="C199">
        <v>4.9000000000000004</v>
      </c>
      <c r="D199">
        <v>7150</v>
      </c>
      <c r="E199">
        <v>12</v>
      </c>
      <c r="F199">
        <v>2013</v>
      </c>
      <c r="G199" t="s">
        <v>12</v>
      </c>
      <c r="H199" t="str">
        <f>+CONCATENATE(A199," ",B199)</f>
        <v>Rush Revere and the Brave Pilgrims: Time-Travel Adventures with Exceptional Americans (1) Rush Limbaugh</v>
      </c>
      <c r="I199" t="str">
        <f t="shared" si="3"/>
        <v>Bajo</v>
      </c>
    </row>
    <row r="200" spans="1:9" hidden="1" x14ac:dyDescent="0.25">
      <c r="A200" t="s">
        <v>351</v>
      </c>
      <c r="B200" t="s">
        <v>350</v>
      </c>
      <c r="C200">
        <v>4.9000000000000004</v>
      </c>
      <c r="D200">
        <v>3836</v>
      </c>
      <c r="E200">
        <v>12</v>
      </c>
      <c r="F200">
        <v>2014</v>
      </c>
      <c r="G200" t="s">
        <v>12</v>
      </c>
      <c r="H200" t="str">
        <f>+CONCATENATE(A200," ",B200)</f>
        <v>Rush Revere and the First Patriots: Time-Travel Adventures With Exceptional Americans (2) Rush Limbaugh</v>
      </c>
      <c r="I200" t="str">
        <f t="shared" si="3"/>
        <v>Bajo</v>
      </c>
    </row>
    <row r="201" spans="1:9" hidden="1" x14ac:dyDescent="0.25">
      <c r="A201" t="s">
        <v>352</v>
      </c>
      <c r="B201" t="s">
        <v>353</v>
      </c>
      <c r="C201">
        <v>4.8</v>
      </c>
      <c r="D201">
        <v>7802</v>
      </c>
      <c r="E201">
        <v>20</v>
      </c>
      <c r="F201">
        <v>2018</v>
      </c>
      <c r="G201" t="s">
        <v>9</v>
      </c>
      <c r="H201" t="str">
        <f>+CONCATENATE(A201," ",B201)</f>
        <v>Salt, Fat, Acid, Heat: Mastering the Elements of Good Cooking Samin Nosrat</v>
      </c>
      <c r="I201" t="str">
        <f t="shared" si="3"/>
        <v>Bajo</v>
      </c>
    </row>
    <row r="202" spans="1:9" hidden="1" x14ac:dyDescent="0.25">
      <c r="A202" t="s">
        <v>354</v>
      </c>
      <c r="B202" t="s">
        <v>355</v>
      </c>
      <c r="C202">
        <v>4.5999999999999996</v>
      </c>
      <c r="D202">
        <v>3619</v>
      </c>
      <c r="E202">
        <v>10</v>
      </c>
      <c r="F202">
        <v>2010</v>
      </c>
      <c r="G202" t="s">
        <v>12</v>
      </c>
      <c r="H202" t="str">
        <f>+CONCATENATE(A202," ",B202)</f>
        <v>Sarah's Key Tatiana de Rosnay</v>
      </c>
      <c r="I202" t="str">
        <f t="shared" si="3"/>
        <v>Bajo</v>
      </c>
    </row>
    <row r="203" spans="1:9" hidden="1" x14ac:dyDescent="0.25">
      <c r="A203" t="s">
        <v>356</v>
      </c>
      <c r="B203" t="s">
        <v>357</v>
      </c>
      <c r="C203">
        <v>4.8</v>
      </c>
      <c r="D203">
        <v>23047</v>
      </c>
      <c r="E203">
        <v>6</v>
      </c>
      <c r="F203">
        <v>2018</v>
      </c>
      <c r="G203" t="s">
        <v>9</v>
      </c>
      <c r="H203" t="str">
        <f>+CONCATENATE(A203," ",B203)</f>
        <v>School Zone - Big Preschool Workbook - Ages 4 and Up, Colors, Shapes, Numbers 1-10, Alphabet, Pre-Writing, Pre-Reading… School Zone</v>
      </c>
      <c r="I203" t="str">
        <f t="shared" si="3"/>
        <v>Bajo</v>
      </c>
    </row>
    <row r="204" spans="1:9" hidden="1" x14ac:dyDescent="0.25">
      <c r="A204" t="s">
        <v>358</v>
      </c>
      <c r="B204" t="s">
        <v>149</v>
      </c>
      <c r="C204">
        <v>4.7</v>
      </c>
      <c r="D204">
        <v>9366</v>
      </c>
      <c r="E204">
        <v>9</v>
      </c>
      <c r="F204">
        <v>2015</v>
      </c>
      <c r="G204" t="s">
        <v>9</v>
      </c>
      <c r="H204" t="str">
        <f>+CONCATENATE(A204," ",B204)</f>
        <v>Secret Garden: An Inky Treasure Hunt and Coloring Book (For Adults, mindfulness coloring) Johanna Basford</v>
      </c>
      <c r="I204" t="str">
        <f t="shared" si="3"/>
        <v>Bajo</v>
      </c>
    </row>
    <row r="205" spans="1:9" hidden="1" x14ac:dyDescent="0.25">
      <c r="A205" t="s">
        <v>359</v>
      </c>
      <c r="B205" t="s">
        <v>360</v>
      </c>
      <c r="C205">
        <v>4.7</v>
      </c>
      <c r="D205">
        <v>1265</v>
      </c>
      <c r="E205">
        <v>11</v>
      </c>
      <c r="F205">
        <v>2010</v>
      </c>
      <c r="G205" t="s">
        <v>9</v>
      </c>
      <c r="H205" t="str">
        <f>+CONCATENATE(A205," ",B205)</f>
        <v>Sh*t My Dad Says Justin Halpern</v>
      </c>
      <c r="I205" t="str">
        <f t="shared" si="3"/>
        <v>Bajo</v>
      </c>
    </row>
    <row r="206" spans="1:9" hidden="1" x14ac:dyDescent="0.25">
      <c r="A206" t="s">
        <v>361</v>
      </c>
      <c r="B206" t="s">
        <v>362</v>
      </c>
      <c r="C206">
        <v>4.8</v>
      </c>
      <c r="D206">
        <v>3923</v>
      </c>
      <c r="E206">
        <v>16</v>
      </c>
      <c r="F206">
        <v>2018</v>
      </c>
      <c r="G206" t="s">
        <v>9</v>
      </c>
      <c r="H206" t="str">
        <f>+CONCATENATE(A206," ",B206)</f>
        <v>Ship of Fools: How a Selfish Ruling Class Is Bringing America to the Brink of Revolution Tucker Carlson</v>
      </c>
      <c r="I206" t="str">
        <f t="shared" si="3"/>
        <v>Bajo</v>
      </c>
    </row>
    <row r="207" spans="1:9" hidden="1" x14ac:dyDescent="0.25">
      <c r="A207" t="s">
        <v>363</v>
      </c>
      <c r="B207" t="s">
        <v>364</v>
      </c>
      <c r="C207">
        <v>4.0999999999999996</v>
      </c>
      <c r="D207">
        <v>2272</v>
      </c>
      <c r="E207">
        <v>6</v>
      </c>
      <c r="F207">
        <v>2013</v>
      </c>
      <c r="G207" t="s">
        <v>9</v>
      </c>
      <c r="H207" t="str">
        <f>+CONCATENATE(A207," ",B207)</f>
        <v>Shred: The Revolutionary Diet: 6 Weeks 4 Inches 2 Sizes Ian K. Smith M.D.</v>
      </c>
      <c r="I207" t="str">
        <f t="shared" si="3"/>
        <v>Bajo</v>
      </c>
    </row>
    <row r="208" spans="1:9" hidden="1" x14ac:dyDescent="0.25">
      <c r="A208" t="s">
        <v>365</v>
      </c>
      <c r="B208" t="s">
        <v>105</v>
      </c>
      <c r="C208">
        <v>4.7</v>
      </c>
      <c r="D208">
        <v>973</v>
      </c>
      <c r="E208">
        <v>25</v>
      </c>
      <c r="F208">
        <v>2009</v>
      </c>
      <c r="G208" t="s">
        <v>12</v>
      </c>
      <c r="H208" t="str">
        <f>+CONCATENATE(A208," ",B208)</f>
        <v>Sookie Stackhouse Charlaine Harris</v>
      </c>
      <c r="I208" t="str">
        <f t="shared" si="3"/>
        <v>Bajo</v>
      </c>
    </row>
    <row r="209" spans="1:9" hidden="1" x14ac:dyDescent="0.25">
      <c r="A209" t="s">
        <v>366</v>
      </c>
      <c r="B209" t="s">
        <v>124</v>
      </c>
      <c r="C209">
        <v>4.5999999999999996</v>
      </c>
      <c r="D209">
        <v>220</v>
      </c>
      <c r="E209">
        <v>17</v>
      </c>
      <c r="F209">
        <v>2013</v>
      </c>
      <c r="G209" t="s">
        <v>9</v>
      </c>
      <c r="H209" t="str">
        <f>+CONCATENATE(A209," ",B209)</f>
        <v>Soul Healing Miracles: Ancient and New Sacred Wisdom, Knowledge, and Practical Techniques for Healing the Spiritual… Zhi Gang Sha</v>
      </c>
      <c r="I209" t="str">
        <f t="shared" si="3"/>
        <v>Bajo</v>
      </c>
    </row>
    <row r="210" spans="1:9" hidden="1" x14ac:dyDescent="0.25">
      <c r="A210" t="s">
        <v>367</v>
      </c>
      <c r="B210" t="s">
        <v>275</v>
      </c>
      <c r="C210">
        <v>4.5999999999999996</v>
      </c>
      <c r="D210">
        <v>7827</v>
      </c>
      <c r="E210">
        <v>20</v>
      </c>
      <c r="F210">
        <v>2011</v>
      </c>
      <c r="G210" t="s">
        <v>9</v>
      </c>
      <c r="H210" t="str">
        <f>+CONCATENATE(A210," ",B210)</f>
        <v>Steve Jobs Walter Isaacson</v>
      </c>
      <c r="I210" t="str">
        <f t="shared" si="3"/>
        <v>Bajo</v>
      </c>
    </row>
    <row r="211" spans="1:9" hidden="1" x14ac:dyDescent="0.25">
      <c r="A211" t="s">
        <v>368</v>
      </c>
      <c r="B211" t="s">
        <v>369</v>
      </c>
      <c r="C211">
        <v>4.9000000000000004</v>
      </c>
      <c r="D211">
        <v>9382</v>
      </c>
      <c r="E211">
        <v>6</v>
      </c>
      <c r="F211">
        <v>2019</v>
      </c>
      <c r="G211" t="s">
        <v>12</v>
      </c>
      <c r="H211" t="str">
        <f>+CONCATENATE(A211," ",B211)</f>
        <v>Strange Planet (Strange Planet Series) Nathan W. Pyle</v>
      </c>
      <c r="I211" t="str">
        <f t="shared" si="3"/>
        <v>Bajo</v>
      </c>
    </row>
    <row r="212" spans="1:9" hidden="1" x14ac:dyDescent="0.25">
      <c r="A212" t="s">
        <v>370</v>
      </c>
      <c r="B212" t="s">
        <v>371</v>
      </c>
      <c r="C212">
        <v>4</v>
      </c>
      <c r="D212">
        <v>5069</v>
      </c>
      <c r="E212">
        <v>17</v>
      </c>
      <c r="F212">
        <v>2009</v>
      </c>
      <c r="G212" t="s">
        <v>9</v>
      </c>
      <c r="H212" t="str">
        <f>+CONCATENATE(A212," ",B212)</f>
        <v>StrengthsFinder 2.0 Gallup</v>
      </c>
      <c r="I212" t="str">
        <f t="shared" si="3"/>
        <v>Bajo</v>
      </c>
    </row>
    <row r="213" spans="1:9" hidden="1" x14ac:dyDescent="0.25">
      <c r="A213" t="s">
        <v>372</v>
      </c>
      <c r="B213" t="s">
        <v>373</v>
      </c>
      <c r="C213">
        <v>4.5</v>
      </c>
      <c r="D213">
        <v>1583</v>
      </c>
      <c r="E213">
        <v>18</v>
      </c>
      <c r="F213">
        <v>2009</v>
      </c>
      <c r="G213" t="s">
        <v>9</v>
      </c>
      <c r="H213" t="str">
        <f>+CONCATENATE(A213," ",B213)</f>
        <v>Super Freakonomics: Global Cooling, Patriotic Prostitutes, and Why Suicide Bombers Should Buy Life Insurance Steven D. Levitt</v>
      </c>
      <c r="I213" t="str">
        <f t="shared" si="3"/>
        <v>Bajo</v>
      </c>
    </row>
    <row r="214" spans="1:9" hidden="1" x14ac:dyDescent="0.25">
      <c r="A214" t="s">
        <v>374</v>
      </c>
      <c r="B214" t="s">
        <v>375</v>
      </c>
      <c r="C214">
        <v>4.5999999999999996</v>
      </c>
      <c r="D214">
        <v>1907</v>
      </c>
      <c r="E214">
        <v>13</v>
      </c>
      <c r="F214">
        <v>2010</v>
      </c>
      <c r="G214" t="s">
        <v>9</v>
      </c>
      <c r="H214" t="str">
        <f>+CONCATENATE(A214," ",B214)</f>
        <v>Switch: How to Change Things When Change Is Hard Chip Heath</v>
      </c>
      <c r="I214" t="str">
        <f t="shared" si="3"/>
        <v>Bajo</v>
      </c>
    </row>
    <row r="215" spans="1:9" hidden="1" x14ac:dyDescent="0.25">
      <c r="A215" t="s">
        <v>376</v>
      </c>
      <c r="B215" t="s">
        <v>377</v>
      </c>
      <c r="C215">
        <v>4.5</v>
      </c>
      <c r="D215">
        <v>23114</v>
      </c>
      <c r="E215">
        <v>18</v>
      </c>
      <c r="F215">
        <v>2013</v>
      </c>
      <c r="G215" t="s">
        <v>12</v>
      </c>
      <c r="H215" t="str">
        <f>+CONCATENATE(A215," ",B215)</f>
        <v>Sycamore Row (Jake Brigance) John Grisham</v>
      </c>
      <c r="I215" t="str">
        <f t="shared" si="3"/>
        <v>Bajo</v>
      </c>
    </row>
    <row r="216" spans="1:9" hidden="1" x14ac:dyDescent="0.25">
      <c r="A216" t="s">
        <v>378</v>
      </c>
      <c r="B216" t="s">
        <v>379</v>
      </c>
      <c r="C216">
        <v>4.4000000000000004</v>
      </c>
      <c r="D216">
        <v>637</v>
      </c>
      <c r="E216">
        <v>20</v>
      </c>
      <c r="F216">
        <v>2010</v>
      </c>
      <c r="G216" t="s">
        <v>9</v>
      </c>
      <c r="H216" t="str">
        <f>+CONCATENATE(A216," ",B216)</f>
        <v>Teach Like a Champion: 49 Techniques that Put Students on the Path to College Doug Lemov</v>
      </c>
      <c r="I216" t="str">
        <f t="shared" si="3"/>
        <v>Bajo</v>
      </c>
    </row>
    <row r="217" spans="1:9" hidden="1" x14ac:dyDescent="0.25">
      <c r="A217" t="s">
        <v>380</v>
      </c>
      <c r="B217" t="s">
        <v>381</v>
      </c>
      <c r="C217">
        <v>4.3</v>
      </c>
      <c r="D217">
        <v>2314</v>
      </c>
      <c r="E217">
        <v>22</v>
      </c>
      <c r="F217">
        <v>2011</v>
      </c>
      <c r="G217" t="s">
        <v>9</v>
      </c>
      <c r="H217" t="str">
        <f>+CONCATENATE(A217," ",B217)</f>
        <v>The 17 Day Diet: A Doctor's Plan Designed for Rapid Results Mike Moreno</v>
      </c>
      <c r="I217" t="str">
        <f t="shared" si="3"/>
        <v>Bajo</v>
      </c>
    </row>
    <row r="218" spans="1:9" hidden="1" x14ac:dyDescent="0.25">
      <c r="A218" t="s">
        <v>382</v>
      </c>
      <c r="B218" t="s">
        <v>383</v>
      </c>
      <c r="C218">
        <v>4.3</v>
      </c>
      <c r="D218">
        <v>4587</v>
      </c>
      <c r="E218">
        <v>21</v>
      </c>
      <c r="F218">
        <v>2011</v>
      </c>
      <c r="G218" t="s">
        <v>9</v>
      </c>
      <c r="H218" t="str">
        <f>+CONCATENATE(A218," ",B218)</f>
        <v>The 4 Hour Body: An Uncommon Guide to Rapid Fat Loss, Incredible Sex and Becoming Superhuman Timothy Ferriss</v>
      </c>
      <c r="I218" t="str">
        <f t="shared" si="3"/>
        <v>Bajo</v>
      </c>
    </row>
    <row r="219" spans="1:9" hidden="1" x14ac:dyDescent="0.25">
      <c r="A219" t="s">
        <v>384</v>
      </c>
      <c r="B219" t="s">
        <v>385</v>
      </c>
      <c r="C219">
        <v>4.7</v>
      </c>
      <c r="D219">
        <v>3477</v>
      </c>
      <c r="E219">
        <v>28</v>
      </c>
      <c r="F219">
        <v>2010</v>
      </c>
      <c r="G219" t="s">
        <v>9</v>
      </c>
      <c r="H219" t="str">
        <f>+CONCATENATE(A219," ",B219)</f>
        <v>The 5 Love Languages: The Secret to Love That Lasts Gary Chapman</v>
      </c>
      <c r="I219" t="str">
        <f t="shared" si="3"/>
        <v>Bajo</v>
      </c>
    </row>
    <row r="220" spans="1:9" hidden="1" x14ac:dyDescent="0.25">
      <c r="A220" t="s">
        <v>386</v>
      </c>
      <c r="B220" t="s">
        <v>387</v>
      </c>
      <c r="C220">
        <v>4.8</v>
      </c>
      <c r="D220">
        <v>1680</v>
      </c>
      <c r="E220">
        <v>12</v>
      </c>
      <c r="F220">
        <v>2009</v>
      </c>
      <c r="G220" t="s">
        <v>9</v>
      </c>
      <c r="H220" t="str">
        <f>+CONCATENATE(A220," ",B220)</f>
        <v>The 5000 Year Leap W. Cleon Skousen</v>
      </c>
      <c r="I220" t="str">
        <f t="shared" si="3"/>
        <v>Bajo</v>
      </c>
    </row>
    <row r="221" spans="1:9" hidden="1" x14ac:dyDescent="0.25">
      <c r="A221" t="s">
        <v>388</v>
      </c>
      <c r="B221" t="s">
        <v>389</v>
      </c>
      <c r="C221">
        <v>4.5999999999999996</v>
      </c>
      <c r="D221">
        <v>9325</v>
      </c>
      <c r="E221">
        <v>24</v>
      </c>
      <c r="F221">
        <v>2009</v>
      </c>
      <c r="G221" t="s">
        <v>9</v>
      </c>
      <c r="H221" t="str">
        <f>+CONCATENATE(A221," ",B221)</f>
        <v>The 7 Habits of Highly Effective People: Powerful Lessons in Personal Change Stephen R. Covey</v>
      </c>
      <c r="I221" t="str">
        <f t="shared" si="3"/>
        <v>Bajo</v>
      </c>
    </row>
    <row r="222" spans="1:9" hidden="1" x14ac:dyDescent="0.25">
      <c r="A222" t="s">
        <v>390</v>
      </c>
      <c r="B222" t="s">
        <v>391</v>
      </c>
      <c r="C222">
        <v>4.7</v>
      </c>
      <c r="D222">
        <v>35799</v>
      </c>
      <c r="E222">
        <v>39</v>
      </c>
      <c r="F222">
        <v>2014</v>
      </c>
      <c r="G222" t="s">
        <v>12</v>
      </c>
      <c r="H222" t="str">
        <f>+CONCATENATE(A222," ",B222)</f>
        <v>The Alchemist Paulo Coelho</v>
      </c>
      <c r="I222" t="str">
        <f t="shared" si="3"/>
        <v>Medio</v>
      </c>
    </row>
    <row r="223" spans="1:9" hidden="1" x14ac:dyDescent="0.25">
      <c r="A223" t="s">
        <v>392</v>
      </c>
      <c r="B223" t="s">
        <v>393</v>
      </c>
      <c r="C223">
        <v>4.5999999999999996</v>
      </c>
      <c r="D223">
        <v>2580</v>
      </c>
      <c r="E223">
        <v>9</v>
      </c>
      <c r="F223">
        <v>2012</v>
      </c>
      <c r="G223" t="s">
        <v>9</v>
      </c>
      <c r="H223" t="str">
        <f>+CONCATENATE(A223," ",B223)</f>
        <v>The Amateur Edward Klein</v>
      </c>
      <c r="I223" t="str">
        <f t="shared" si="3"/>
        <v>Bajo</v>
      </c>
    </row>
    <row r="224" spans="1:9" hidden="1" x14ac:dyDescent="0.25">
      <c r="A224" t="s">
        <v>394</v>
      </c>
      <c r="B224" t="s">
        <v>395</v>
      </c>
      <c r="C224">
        <v>4.7</v>
      </c>
      <c r="D224">
        <v>11813</v>
      </c>
      <c r="E224">
        <v>10</v>
      </c>
      <c r="F224">
        <v>2010</v>
      </c>
      <c r="G224" t="s">
        <v>12</v>
      </c>
      <c r="H224" t="str">
        <f>+CONCATENATE(A224," ",B224)</f>
        <v>The Art of Racing in the Rain: A Novel Garth Stein</v>
      </c>
      <c r="I224" t="str">
        <f t="shared" si="3"/>
        <v>Bajo</v>
      </c>
    </row>
    <row r="225" spans="1:9" hidden="1" x14ac:dyDescent="0.25">
      <c r="A225" t="s">
        <v>396</v>
      </c>
      <c r="B225" t="s">
        <v>397</v>
      </c>
      <c r="C225">
        <v>4.7</v>
      </c>
      <c r="D225">
        <v>3536</v>
      </c>
      <c r="E225">
        <v>17</v>
      </c>
      <c r="F225">
        <v>2010</v>
      </c>
      <c r="G225" t="s">
        <v>9</v>
      </c>
      <c r="H225" t="str">
        <f>+CONCATENATE(A225," ",B225)</f>
        <v>The Big Short: Inside the Doomsday Machine Michael Lewis</v>
      </c>
      <c r="I225" t="str">
        <f t="shared" si="3"/>
        <v>Bajo</v>
      </c>
    </row>
    <row r="226" spans="1:9" hidden="1" x14ac:dyDescent="0.25">
      <c r="A226" t="s">
        <v>398</v>
      </c>
      <c r="B226" t="s">
        <v>333</v>
      </c>
      <c r="C226">
        <v>4.8</v>
      </c>
      <c r="D226">
        <v>6600</v>
      </c>
      <c r="E226">
        <v>11</v>
      </c>
      <c r="F226">
        <v>2014</v>
      </c>
      <c r="G226" t="s">
        <v>12</v>
      </c>
      <c r="H226" t="str">
        <f>+CONCATENATE(A226," ",B226)</f>
        <v>The Blood of Olympus (The Heroes of Olympus (5)) Rick Riordan</v>
      </c>
      <c r="I226" t="str">
        <f t="shared" si="3"/>
        <v>Bajo</v>
      </c>
    </row>
    <row r="227" spans="1:9" hidden="1" x14ac:dyDescent="0.25">
      <c r="A227" t="s">
        <v>399</v>
      </c>
      <c r="B227" t="s">
        <v>400</v>
      </c>
      <c r="C227">
        <v>4.2</v>
      </c>
      <c r="D227">
        <v>1789</v>
      </c>
      <c r="E227">
        <v>14</v>
      </c>
      <c r="F227">
        <v>2012</v>
      </c>
      <c r="G227" t="s">
        <v>9</v>
      </c>
      <c r="H227" t="str">
        <f>+CONCATENATE(A227," ",B227)</f>
        <v>The Blood Sugar Solution: The UltraHealthy Program for Losing Weight, Preventing Disease, and Feeling Great Now! Mark Hyman M.D.</v>
      </c>
      <c r="I227" t="str">
        <f t="shared" si="3"/>
        <v>Bajo</v>
      </c>
    </row>
    <row r="228" spans="1:9" hidden="1" x14ac:dyDescent="0.25">
      <c r="A228" t="s">
        <v>401</v>
      </c>
      <c r="B228" t="s">
        <v>402</v>
      </c>
      <c r="C228">
        <v>4.8</v>
      </c>
      <c r="D228">
        <v>12361</v>
      </c>
      <c r="E228">
        <v>12</v>
      </c>
      <c r="F228">
        <v>2019</v>
      </c>
      <c r="G228" t="s">
        <v>9</v>
      </c>
      <c r="H228" t="str">
        <f>+CONCATENATE(A228," ",B228)</f>
        <v>The Body Keeps the Score: Brain, Mind, and Body in the Healing of Trauma Bessel van der Kolk M.D.</v>
      </c>
      <c r="I228" t="str">
        <f t="shared" si="3"/>
        <v>Bajo</v>
      </c>
    </row>
    <row r="229" spans="1:9" hidden="1" x14ac:dyDescent="0.25">
      <c r="A229" t="s">
        <v>403</v>
      </c>
      <c r="B229" t="s">
        <v>404</v>
      </c>
      <c r="C229">
        <v>4.7</v>
      </c>
      <c r="D229">
        <v>858</v>
      </c>
      <c r="E229">
        <v>53</v>
      </c>
      <c r="F229">
        <v>2009</v>
      </c>
      <c r="G229" t="s">
        <v>9</v>
      </c>
      <c r="H229" t="str">
        <f>+CONCATENATE(A229," ",B229)</f>
        <v>The Book of Basketball: The NBA According to The Sports Guy Bill Simmons</v>
      </c>
      <c r="I229" t="str">
        <f t="shared" si="3"/>
        <v>Medio</v>
      </c>
    </row>
    <row r="230" spans="1:9" hidden="1" x14ac:dyDescent="0.25">
      <c r="A230" t="s">
        <v>405</v>
      </c>
      <c r="B230" t="s">
        <v>406</v>
      </c>
      <c r="C230">
        <v>4.5999999999999996</v>
      </c>
      <c r="D230">
        <v>23148</v>
      </c>
      <c r="E230">
        <v>6</v>
      </c>
      <c r="F230">
        <v>2013</v>
      </c>
      <c r="G230" t="s">
        <v>12</v>
      </c>
      <c r="H230" t="str">
        <f>+CONCATENATE(A230," ",B230)</f>
        <v>The Book Thief Markus Zusak</v>
      </c>
      <c r="I230" t="str">
        <f t="shared" si="3"/>
        <v>Bajo</v>
      </c>
    </row>
    <row r="231" spans="1:9" hidden="1" x14ac:dyDescent="0.25">
      <c r="A231" t="s">
        <v>407</v>
      </c>
      <c r="B231" t="s">
        <v>408</v>
      </c>
      <c r="C231">
        <v>4.8</v>
      </c>
      <c r="D231">
        <v>8081</v>
      </c>
      <c r="E231">
        <v>8</v>
      </c>
      <c r="F231">
        <v>2014</v>
      </c>
      <c r="G231" t="s">
        <v>12</v>
      </c>
      <c r="H231" t="str">
        <f>+CONCATENATE(A231," ",B231)</f>
        <v>The Book with No Pictures B. J. Novak</v>
      </c>
      <c r="I231" t="str">
        <f t="shared" si="3"/>
        <v>Bajo</v>
      </c>
    </row>
    <row r="232" spans="1:9" hidden="1" x14ac:dyDescent="0.25">
      <c r="A232" t="s">
        <v>409</v>
      </c>
      <c r="B232" t="s">
        <v>410</v>
      </c>
      <c r="C232">
        <v>4.8</v>
      </c>
      <c r="D232">
        <v>23358</v>
      </c>
      <c r="E232">
        <v>12</v>
      </c>
      <c r="F232">
        <v>2014</v>
      </c>
      <c r="G232" t="s">
        <v>9</v>
      </c>
      <c r="H232" t="str">
        <f>+CONCATENATE(A232," ",B232)</f>
        <v>The Boys in the Boat: Nine Americans and Their Epic Quest for Gold at the 1936 Berlin Olympics Daniel James Brown</v>
      </c>
      <c r="I232" t="str">
        <f t="shared" si="3"/>
        <v>Bajo</v>
      </c>
    </row>
    <row r="233" spans="1:9" hidden="1" x14ac:dyDescent="0.25">
      <c r="A233" t="s">
        <v>411</v>
      </c>
      <c r="B233" t="s">
        <v>153</v>
      </c>
      <c r="C233">
        <v>3.3</v>
      </c>
      <c r="D233">
        <v>9372</v>
      </c>
      <c r="E233">
        <v>12</v>
      </c>
      <c r="F233">
        <v>2012</v>
      </c>
      <c r="G233" t="s">
        <v>12</v>
      </c>
      <c r="H233" t="str">
        <f>+CONCATENATE(A233," ",B233)</f>
        <v>The Casual Vacancy J.K. Rowling</v>
      </c>
      <c r="I233" t="str">
        <f t="shared" si="3"/>
        <v>Bajo</v>
      </c>
    </row>
    <row r="234" spans="1:9" hidden="1" x14ac:dyDescent="0.25">
      <c r="A234" t="s">
        <v>412</v>
      </c>
      <c r="B234" t="s">
        <v>413</v>
      </c>
      <c r="C234">
        <v>4.7</v>
      </c>
      <c r="D234">
        <v>4633</v>
      </c>
      <c r="E234">
        <v>21</v>
      </c>
      <c r="F234">
        <v>2011</v>
      </c>
      <c r="G234" t="s">
        <v>9</v>
      </c>
      <c r="H234" t="str">
        <f>+CONCATENATE(A234," ",B234)</f>
        <v>The China Study: The Most Comprehensive Study of Nutrition Ever Conducted And the Startling Implications for Diet… Thomas Campbell</v>
      </c>
      <c r="I234" t="str">
        <f t="shared" si="3"/>
        <v>Bajo</v>
      </c>
    </row>
    <row r="235" spans="1:9" hidden="1" x14ac:dyDescent="0.25">
      <c r="A235" t="s">
        <v>414</v>
      </c>
      <c r="B235" t="s">
        <v>415</v>
      </c>
      <c r="C235">
        <v>4.3</v>
      </c>
      <c r="D235">
        <v>13061</v>
      </c>
      <c r="E235">
        <v>6</v>
      </c>
      <c r="F235">
        <v>2018</v>
      </c>
      <c r="G235" t="s">
        <v>9</v>
      </c>
      <c r="H235" t="str">
        <f>+CONCATENATE(A235," ",B235)</f>
        <v>The Complete Ketogenic Diet for Beginners: Your Essential Guide to Living the Keto Lifestyle Amy Ramos</v>
      </c>
      <c r="I235" t="str">
        <f t="shared" si="3"/>
        <v>Bajo</v>
      </c>
    </row>
    <row r="236" spans="1:9" hidden="1" x14ac:dyDescent="0.25">
      <c r="A236" t="s">
        <v>416</v>
      </c>
      <c r="B236" t="s">
        <v>377</v>
      </c>
      <c r="C236">
        <v>4.3</v>
      </c>
      <c r="D236">
        <v>3523</v>
      </c>
      <c r="E236">
        <v>13</v>
      </c>
      <c r="F236">
        <v>2010</v>
      </c>
      <c r="G236" t="s">
        <v>12</v>
      </c>
      <c r="H236" t="str">
        <f>+CONCATENATE(A236," ",B236)</f>
        <v>The Confession: A Novel John Grisham</v>
      </c>
      <c r="I236" t="str">
        <f t="shared" si="3"/>
        <v>Bajo</v>
      </c>
    </row>
    <row r="237" spans="1:9" hidden="1" x14ac:dyDescent="0.25">
      <c r="A237" t="s">
        <v>417</v>
      </c>
      <c r="B237" t="s">
        <v>418</v>
      </c>
      <c r="C237">
        <v>4.8</v>
      </c>
      <c r="D237">
        <v>2774</v>
      </c>
      <c r="E237">
        <v>0</v>
      </c>
      <c r="F237">
        <v>2016</v>
      </c>
      <c r="G237" t="s">
        <v>9</v>
      </c>
      <c r="H237" t="str">
        <f>+CONCATENATE(A237," ",B237)</f>
        <v>The Constitution of the United States Delegates of the Constitutional</v>
      </c>
      <c r="I237" t="str">
        <f t="shared" si="3"/>
        <v>Bajo</v>
      </c>
    </row>
    <row r="238" spans="1:9" hidden="1" x14ac:dyDescent="0.25">
      <c r="A238" t="s">
        <v>419</v>
      </c>
      <c r="B238" t="s">
        <v>420</v>
      </c>
      <c r="C238">
        <v>4.4000000000000004</v>
      </c>
      <c r="D238">
        <v>440</v>
      </c>
      <c r="E238">
        <v>11</v>
      </c>
      <c r="F238">
        <v>2010</v>
      </c>
      <c r="G238" t="s">
        <v>9</v>
      </c>
      <c r="H238" t="str">
        <f>+CONCATENATE(A238," ",B238)</f>
        <v>The Daily Show with Jon Stewart Presents Earth (The Book): A Visitor's Guide to the Human Race Jon Stewart</v>
      </c>
      <c r="I238" t="str">
        <f t="shared" si="3"/>
        <v>Bajo</v>
      </c>
    </row>
    <row r="239" spans="1:9" hidden="1" x14ac:dyDescent="0.25">
      <c r="A239" t="s">
        <v>421</v>
      </c>
      <c r="B239" t="s">
        <v>422</v>
      </c>
      <c r="C239">
        <v>4.8</v>
      </c>
      <c r="D239">
        <v>8922</v>
      </c>
      <c r="E239">
        <v>9</v>
      </c>
      <c r="F239">
        <v>2013</v>
      </c>
      <c r="G239" t="s">
        <v>12</v>
      </c>
      <c r="H239" t="str">
        <f>+CONCATENATE(A239," ",B239)</f>
        <v>The Day the Crayons Quit Drew Daywalt</v>
      </c>
      <c r="I239" t="str">
        <f t="shared" si="3"/>
        <v>Bajo</v>
      </c>
    </row>
    <row r="240" spans="1:9" hidden="1" x14ac:dyDescent="0.25">
      <c r="A240" t="s">
        <v>423</v>
      </c>
      <c r="B240" t="s">
        <v>424</v>
      </c>
      <c r="C240">
        <v>4.0999999999999996</v>
      </c>
      <c r="D240">
        <v>2023</v>
      </c>
      <c r="E240">
        <v>15</v>
      </c>
      <c r="F240">
        <v>2011</v>
      </c>
      <c r="G240" t="s">
        <v>9</v>
      </c>
      <c r="H240" t="str">
        <f>+CONCATENATE(A240," ",B240)</f>
        <v>The Dukan Diet: 2 Steps to Lose the Weight, 2 Steps to Keep It Off Forever Pierre Dukan</v>
      </c>
      <c r="I240" t="str">
        <f t="shared" si="3"/>
        <v>Bajo</v>
      </c>
    </row>
    <row r="241" spans="1:9" hidden="1" x14ac:dyDescent="0.25">
      <c r="A241" t="s">
        <v>425</v>
      </c>
      <c r="B241" t="s">
        <v>426</v>
      </c>
      <c r="C241">
        <v>4</v>
      </c>
      <c r="D241">
        <v>1859</v>
      </c>
      <c r="E241">
        <v>11</v>
      </c>
      <c r="F241">
        <v>2009</v>
      </c>
      <c r="G241" t="s">
        <v>12</v>
      </c>
      <c r="H241" t="str">
        <f>+CONCATENATE(A241," ",B241)</f>
        <v>The Elegance of the Hedgehog Muriel Barbery</v>
      </c>
      <c r="I241" t="str">
        <f t="shared" si="3"/>
        <v>Bajo</v>
      </c>
    </row>
    <row r="242" spans="1:9" hidden="1" x14ac:dyDescent="0.25">
      <c r="A242" t="s">
        <v>427</v>
      </c>
      <c r="B242" t="s">
        <v>289</v>
      </c>
      <c r="C242">
        <v>4.7</v>
      </c>
      <c r="D242">
        <v>50482</v>
      </c>
      <c r="E242">
        <v>13</v>
      </c>
      <c r="F242">
        <v>2012</v>
      </c>
      <c r="G242" t="s">
        <v>12</v>
      </c>
      <c r="H242" t="str">
        <f>+CONCATENATE(A242," ",B242)</f>
        <v>The Fault in Our Stars John Green</v>
      </c>
      <c r="I242" t="str">
        <f t="shared" si="3"/>
        <v>Bajo</v>
      </c>
    </row>
    <row r="243" spans="1:9" hidden="1" x14ac:dyDescent="0.25">
      <c r="A243" t="s">
        <v>428</v>
      </c>
      <c r="B243" t="s">
        <v>429</v>
      </c>
      <c r="C243">
        <v>4.5999999999999996</v>
      </c>
      <c r="D243">
        <v>3207</v>
      </c>
      <c r="E243">
        <v>6</v>
      </c>
      <c r="F243">
        <v>2009</v>
      </c>
      <c r="G243" t="s">
        <v>9</v>
      </c>
      <c r="H243" t="str">
        <f>+CONCATENATE(A243," ",B243)</f>
        <v>The Five Dysfunctions of a Team: A Leadership Fable Patrick Lencioni</v>
      </c>
      <c r="I243" t="str">
        <f t="shared" si="3"/>
        <v>Bajo</v>
      </c>
    </row>
    <row r="244" spans="1:9" hidden="1" x14ac:dyDescent="0.25">
      <c r="A244" t="s">
        <v>430</v>
      </c>
      <c r="B244" t="s">
        <v>385</v>
      </c>
      <c r="C244">
        <v>4.5999999999999996</v>
      </c>
      <c r="D244">
        <v>803</v>
      </c>
      <c r="E244">
        <v>9</v>
      </c>
      <c r="F244">
        <v>2009</v>
      </c>
      <c r="G244" t="s">
        <v>9</v>
      </c>
      <c r="H244" t="str">
        <f>+CONCATENATE(A244," ",B244)</f>
        <v>The Five Love Languages: How to Express Heartfelt Commitment to Your Mate Gary Chapman</v>
      </c>
      <c r="I244" t="str">
        <f t="shared" si="3"/>
        <v>Bajo</v>
      </c>
    </row>
    <row r="245" spans="1:9" hidden="1" x14ac:dyDescent="0.25">
      <c r="A245" t="s">
        <v>431</v>
      </c>
      <c r="B245" t="s">
        <v>432</v>
      </c>
      <c r="C245">
        <v>4.7</v>
      </c>
      <c r="D245">
        <v>23308</v>
      </c>
      <c r="E245">
        <v>6</v>
      </c>
      <c r="F245">
        <v>2013</v>
      </c>
      <c r="G245" t="s">
        <v>9</v>
      </c>
      <c r="H245" t="str">
        <f>+CONCATENATE(A245," ",B245)</f>
        <v>The Four Agreements: A Practical Guide to Personal Freedom (A Toltec Wisdom Book) Don Miguel Ruiz</v>
      </c>
      <c r="I245" t="str">
        <f t="shared" si="3"/>
        <v>Bajo</v>
      </c>
    </row>
    <row r="246" spans="1:9" hidden="1" x14ac:dyDescent="0.25">
      <c r="A246" t="s">
        <v>433</v>
      </c>
      <c r="B246" t="s">
        <v>80</v>
      </c>
      <c r="C246">
        <v>4.8</v>
      </c>
      <c r="D246">
        <v>5836</v>
      </c>
      <c r="E246">
        <v>0</v>
      </c>
      <c r="F246">
        <v>2017</v>
      </c>
      <c r="G246" t="s">
        <v>12</v>
      </c>
      <c r="H246" t="str">
        <f>+CONCATENATE(A246," ",B246)</f>
        <v>The Getaway Jeff Kinney</v>
      </c>
      <c r="I246" t="str">
        <f t="shared" si="3"/>
        <v>Bajo</v>
      </c>
    </row>
    <row r="247" spans="1:9" hidden="1" x14ac:dyDescent="0.25">
      <c r="A247" t="s">
        <v>434</v>
      </c>
      <c r="B247" t="s">
        <v>435</v>
      </c>
      <c r="C247">
        <v>4.0999999999999996</v>
      </c>
      <c r="D247">
        <v>79446</v>
      </c>
      <c r="E247">
        <v>18</v>
      </c>
      <c r="F247">
        <v>2015</v>
      </c>
      <c r="G247" t="s">
        <v>12</v>
      </c>
      <c r="H247" t="str">
        <f>+CONCATENATE(A247," ",B247)</f>
        <v>The Girl on the Train Paula Hawkins</v>
      </c>
      <c r="I247" t="str">
        <f t="shared" si="3"/>
        <v>Bajo</v>
      </c>
    </row>
    <row r="248" spans="1:9" hidden="1" x14ac:dyDescent="0.25">
      <c r="A248" t="s">
        <v>436</v>
      </c>
      <c r="B248" t="s">
        <v>437</v>
      </c>
      <c r="C248">
        <v>4.7</v>
      </c>
      <c r="D248">
        <v>7747</v>
      </c>
      <c r="E248">
        <v>14</v>
      </c>
      <c r="F248">
        <v>2010</v>
      </c>
      <c r="G248" t="s">
        <v>12</v>
      </c>
      <c r="H248" t="str">
        <f>+CONCATENATE(A248," ",B248)</f>
        <v>The Girl Who Kicked the Hornet's Nest (Millennium Trilogy) Stieg Larsson</v>
      </c>
      <c r="I248" t="str">
        <f t="shared" si="3"/>
        <v>Bajo</v>
      </c>
    </row>
    <row r="249" spans="1:9" hidden="1" x14ac:dyDescent="0.25">
      <c r="A249" t="s">
        <v>438</v>
      </c>
      <c r="B249" t="s">
        <v>437</v>
      </c>
      <c r="C249">
        <v>4.7</v>
      </c>
      <c r="D249">
        <v>7251</v>
      </c>
      <c r="E249">
        <v>9</v>
      </c>
      <c r="F249">
        <v>2010</v>
      </c>
      <c r="G249" t="s">
        <v>12</v>
      </c>
      <c r="H249" t="str">
        <f>+CONCATENATE(A249," ",B249)</f>
        <v>The Girl Who Played with Fire (Millennium Series) Stieg Larsson</v>
      </c>
      <c r="I249" t="str">
        <f t="shared" si="3"/>
        <v>Bajo</v>
      </c>
    </row>
    <row r="250" spans="1:9" hidden="1" x14ac:dyDescent="0.25">
      <c r="A250" t="s">
        <v>439</v>
      </c>
      <c r="B250" t="s">
        <v>437</v>
      </c>
      <c r="C250">
        <v>4.7</v>
      </c>
      <c r="D250">
        <v>7251</v>
      </c>
      <c r="E250">
        <v>16</v>
      </c>
      <c r="F250">
        <v>2009</v>
      </c>
      <c r="G250" t="s">
        <v>12</v>
      </c>
      <c r="H250" t="str">
        <f>+CONCATENATE(A250," ",B250)</f>
        <v>The Girl Who Played with Fire (Millennium) Stieg Larsson</v>
      </c>
      <c r="I250" t="str">
        <f t="shared" si="3"/>
        <v>Bajo</v>
      </c>
    </row>
    <row r="251" spans="1:9" hidden="1" x14ac:dyDescent="0.25">
      <c r="A251" t="s">
        <v>440</v>
      </c>
      <c r="B251" t="s">
        <v>437</v>
      </c>
      <c r="C251">
        <v>4.4000000000000004</v>
      </c>
      <c r="D251">
        <v>10559</v>
      </c>
      <c r="E251">
        <v>2</v>
      </c>
      <c r="F251">
        <v>2009</v>
      </c>
      <c r="G251" t="s">
        <v>12</v>
      </c>
      <c r="H251" t="str">
        <f>+CONCATENATE(A251," ",B251)</f>
        <v>The Girl with the Dragon Tattoo (Millennium Series) Stieg Larsson</v>
      </c>
      <c r="I251" t="str">
        <f t="shared" si="3"/>
        <v>Bajo</v>
      </c>
    </row>
    <row r="252" spans="1:9" hidden="1" x14ac:dyDescent="0.25">
      <c r="A252" t="s">
        <v>441</v>
      </c>
      <c r="B252" t="s">
        <v>442</v>
      </c>
      <c r="C252">
        <v>4.8</v>
      </c>
      <c r="D252">
        <v>5249</v>
      </c>
      <c r="E252">
        <v>5</v>
      </c>
      <c r="F252">
        <v>2016</v>
      </c>
      <c r="G252" t="s">
        <v>12</v>
      </c>
      <c r="H252" t="str">
        <f>+CONCATENATE(A252," ",B252)</f>
        <v>The Going-To-Bed Book Sandra Boynton</v>
      </c>
      <c r="I252" t="str">
        <f t="shared" si="3"/>
        <v>Bajo</v>
      </c>
    </row>
    <row r="253" spans="1:9" hidden="1" x14ac:dyDescent="0.25">
      <c r="A253" t="s">
        <v>443</v>
      </c>
      <c r="B253" t="s">
        <v>444</v>
      </c>
      <c r="C253">
        <v>3.9</v>
      </c>
      <c r="D253">
        <v>33844</v>
      </c>
      <c r="E253">
        <v>20</v>
      </c>
      <c r="F253">
        <v>2013</v>
      </c>
      <c r="G253" t="s">
        <v>12</v>
      </c>
      <c r="H253" t="str">
        <f>+CONCATENATE(A253," ",B253)</f>
        <v>The Goldfinch: A Novel (Pulitzer Prize for Fiction) Donna Tartt</v>
      </c>
      <c r="I253" t="str">
        <f t="shared" si="3"/>
        <v>Bajo</v>
      </c>
    </row>
    <row r="254" spans="1:9" hidden="1" x14ac:dyDescent="0.25">
      <c r="A254" t="s">
        <v>445</v>
      </c>
      <c r="B254" t="s">
        <v>446</v>
      </c>
      <c r="C254">
        <v>4.4000000000000004</v>
      </c>
      <c r="D254">
        <v>11616</v>
      </c>
      <c r="E254">
        <v>7</v>
      </c>
      <c r="F254">
        <v>2012</v>
      </c>
      <c r="G254" t="s">
        <v>12</v>
      </c>
      <c r="H254" t="str">
        <f>+CONCATENATE(A254," ",B254)</f>
        <v>The Great Gatsby F. Scott Fitzgerald</v>
      </c>
      <c r="I254" t="str">
        <f t="shared" si="3"/>
        <v>Bajo</v>
      </c>
    </row>
    <row r="255" spans="1:9" hidden="1" x14ac:dyDescent="0.25">
      <c r="A255" t="s">
        <v>447</v>
      </c>
      <c r="B255" t="s">
        <v>377</v>
      </c>
      <c r="C255">
        <v>4.5</v>
      </c>
      <c r="D255">
        <v>13609</v>
      </c>
      <c r="E255">
        <v>14</v>
      </c>
      <c r="F255">
        <v>2019</v>
      </c>
      <c r="G255" t="s">
        <v>12</v>
      </c>
      <c r="H255" t="str">
        <f>+CONCATENATE(A255," ",B255)</f>
        <v>The Guardians: A Novel John Grisham</v>
      </c>
      <c r="I255" t="str">
        <f t="shared" si="3"/>
        <v>Bajo</v>
      </c>
    </row>
    <row r="256" spans="1:9" hidden="1" x14ac:dyDescent="0.25">
      <c r="A256" t="s">
        <v>448</v>
      </c>
      <c r="B256" t="s">
        <v>449</v>
      </c>
      <c r="C256">
        <v>4.7</v>
      </c>
      <c r="D256">
        <v>8587</v>
      </c>
      <c r="E256">
        <v>10</v>
      </c>
      <c r="F256">
        <v>2009</v>
      </c>
      <c r="G256" t="s">
        <v>12</v>
      </c>
      <c r="H256" t="str">
        <f>+CONCATENATE(A256," ",B256)</f>
        <v>The Guernsey Literary and Potato Peel Pie Society Mary Ann Shaffer</v>
      </c>
      <c r="I256" t="str">
        <f t="shared" si="3"/>
        <v>Bajo</v>
      </c>
    </row>
    <row r="257" spans="1:9" hidden="1" x14ac:dyDescent="0.25">
      <c r="A257" t="s">
        <v>450</v>
      </c>
      <c r="B257" t="s">
        <v>451</v>
      </c>
      <c r="C257">
        <v>4.3</v>
      </c>
      <c r="D257">
        <v>29442</v>
      </c>
      <c r="E257">
        <v>7</v>
      </c>
      <c r="F257">
        <v>2017</v>
      </c>
      <c r="G257" t="s">
        <v>12</v>
      </c>
      <c r="H257" t="str">
        <f>+CONCATENATE(A257," ",B257)</f>
        <v>The Handmaid's Tale Margaret Atwood</v>
      </c>
      <c r="I257" t="str">
        <f t="shared" si="3"/>
        <v>Bajo</v>
      </c>
    </row>
    <row r="258" spans="1:9" hidden="1" x14ac:dyDescent="0.25">
      <c r="A258" t="s">
        <v>452</v>
      </c>
      <c r="B258" t="s">
        <v>453</v>
      </c>
      <c r="C258">
        <v>4.5999999999999996</v>
      </c>
      <c r="D258">
        <v>11098</v>
      </c>
      <c r="E258">
        <v>13</v>
      </c>
      <c r="F258">
        <v>2012</v>
      </c>
      <c r="G258" t="s">
        <v>12</v>
      </c>
      <c r="H258" t="str">
        <f>+CONCATENATE(A258," ",B258)</f>
        <v>The Harbinger: The Ancient Mystery that Holds the Secret of America's Future Jonathan Cahn</v>
      </c>
      <c r="I258" t="str">
        <f t="shared" si="3"/>
        <v>Bajo</v>
      </c>
    </row>
    <row r="259" spans="1:9" hidden="1" x14ac:dyDescent="0.25">
      <c r="A259" t="s">
        <v>454</v>
      </c>
      <c r="B259" t="s">
        <v>455</v>
      </c>
      <c r="C259">
        <v>4.8</v>
      </c>
      <c r="D259">
        <v>9947</v>
      </c>
      <c r="E259">
        <v>11</v>
      </c>
      <c r="F259">
        <v>2018</v>
      </c>
      <c r="G259" t="s">
        <v>12</v>
      </c>
      <c r="H259" t="str">
        <f>+CONCATENATE(A259," ",B259)</f>
        <v>The Hate U Give Angie Thomas</v>
      </c>
      <c r="I259" t="str">
        <f t="shared" si="3"/>
        <v>Bajo</v>
      </c>
    </row>
    <row r="260" spans="1:9" hidden="1" x14ac:dyDescent="0.25">
      <c r="A260" t="s">
        <v>456</v>
      </c>
      <c r="B260" t="s">
        <v>457</v>
      </c>
      <c r="C260">
        <v>4.8</v>
      </c>
      <c r="D260">
        <v>13871</v>
      </c>
      <c r="E260">
        <v>6</v>
      </c>
      <c r="F260">
        <v>2009</v>
      </c>
      <c r="G260" t="s">
        <v>12</v>
      </c>
      <c r="H260" t="str">
        <f>+CONCATENATE(A260," ",B260)</f>
        <v>The Help Kathryn Stockett</v>
      </c>
      <c r="I260" t="str">
        <f t="shared" ref="I260:I314" si="4">+IF(E260&lt;=35,"Bajo",IF(E260&lt;=70,"Medio","Alto"))</f>
        <v>Bajo</v>
      </c>
    </row>
    <row r="261" spans="1:9" hidden="1" x14ac:dyDescent="0.25">
      <c r="A261" t="s">
        <v>458</v>
      </c>
      <c r="B261" t="s">
        <v>333</v>
      </c>
      <c r="C261">
        <v>4.8</v>
      </c>
      <c r="D261">
        <v>6982</v>
      </c>
      <c r="E261">
        <v>14</v>
      </c>
      <c r="F261">
        <v>2013</v>
      </c>
      <c r="G261" t="s">
        <v>12</v>
      </c>
      <c r="H261" t="str">
        <f>+CONCATENATE(A261," ",B261)</f>
        <v>The House of Hades (Heroes of Olympus, Book 4) Rick Riordan</v>
      </c>
      <c r="I261" t="str">
        <f t="shared" si="4"/>
        <v>Bajo</v>
      </c>
    </row>
    <row r="262" spans="1:9" hidden="1" x14ac:dyDescent="0.25">
      <c r="A262" t="s">
        <v>459</v>
      </c>
      <c r="B262" t="s">
        <v>88</v>
      </c>
      <c r="C262">
        <v>4.7</v>
      </c>
      <c r="D262">
        <v>32122</v>
      </c>
      <c r="E262">
        <v>14</v>
      </c>
      <c r="F262">
        <v>2010</v>
      </c>
      <c r="G262" t="s">
        <v>12</v>
      </c>
      <c r="H262" t="str">
        <f>+CONCATENATE(A262," ",B262)</f>
        <v>The Hunger Games Suzanne Collins</v>
      </c>
      <c r="I262" t="str">
        <f t="shared" si="4"/>
        <v>Bajo</v>
      </c>
    </row>
    <row r="263" spans="1:9" hidden="1" x14ac:dyDescent="0.25">
      <c r="A263" t="s">
        <v>460</v>
      </c>
      <c r="B263" t="s">
        <v>88</v>
      </c>
      <c r="C263">
        <v>4.7</v>
      </c>
      <c r="D263">
        <v>32122</v>
      </c>
      <c r="E263">
        <v>8</v>
      </c>
      <c r="F263">
        <v>2011</v>
      </c>
      <c r="G263" t="s">
        <v>12</v>
      </c>
      <c r="H263" t="str">
        <f>+CONCATENATE(A263," ",B263)</f>
        <v>The Hunger Games (Book 1) Suzanne Collins</v>
      </c>
      <c r="I263" t="str">
        <f t="shared" si="4"/>
        <v>Bajo</v>
      </c>
    </row>
    <row r="264" spans="1:9" hidden="1" x14ac:dyDescent="0.25">
      <c r="A264" t="s">
        <v>461</v>
      </c>
      <c r="B264" t="s">
        <v>88</v>
      </c>
      <c r="C264">
        <v>4.8</v>
      </c>
      <c r="D264">
        <v>16949</v>
      </c>
      <c r="E264">
        <v>30</v>
      </c>
      <c r="F264">
        <v>2011</v>
      </c>
      <c r="G264" t="s">
        <v>12</v>
      </c>
      <c r="H264" t="str">
        <f>+CONCATENATE(A264," ",B264)</f>
        <v>The Hunger Games Trilogy Boxed Set (1) Suzanne Collins</v>
      </c>
      <c r="I264" t="str">
        <f t="shared" si="4"/>
        <v>Bajo</v>
      </c>
    </row>
    <row r="265" spans="1:9" hidden="1" x14ac:dyDescent="0.25">
      <c r="A265" t="s">
        <v>462</v>
      </c>
      <c r="B265" t="s">
        <v>463</v>
      </c>
      <c r="C265">
        <v>4.7</v>
      </c>
      <c r="D265">
        <v>9289</v>
      </c>
      <c r="E265">
        <v>13</v>
      </c>
      <c r="F265">
        <v>2010</v>
      </c>
      <c r="G265" t="s">
        <v>9</v>
      </c>
      <c r="H265" t="str">
        <f>+CONCATENATE(A265," ",B265)</f>
        <v>The Immortal Life of Henrietta Lacks Rebecca Skloot</v>
      </c>
      <c r="I265" t="str">
        <f t="shared" si="4"/>
        <v>Bajo</v>
      </c>
    </row>
    <row r="266" spans="1:9" hidden="1" x14ac:dyDescent="0.25">
      <c r="A266" t="s">
        <v>464</v>
      </c>
      <c r="B266" t="s">
        <v>465</v>
      </c>
      <c r="C266">
        <v>4.3</v>
      </c>
      <c r="D266">
        <v>7368</v>
      </c>
      <c r="E266">
        <v>7</v>
      </c>
      <c r="F266">
        <v>2017</v>
      </c>
      <c r="G266" t="s">
        <v>9</v>
      </c>
      <c r="H266" t="str">
        <f>+CONCATENATE(A266," ",B266)</f>
        <v>The Instant Pot Electric Pressure Cooker Cookbook: Easy Recipes for Fast &amp; Healthy Meals Laurel Randolph</v>
      </c>
      <c r="I266" t="str">
        <f t="shared" si="4"/>
        <v>Bajo</v>
      </c>
    </row>
    <row r="267" spans="1:9" hidden="1" x14ac:dyDescent="0.25">
      <c r="A267" t="s">
        <v>466</v>
      </c>
      <c r="B267" t="s">
        <v>467</v>
      </c>
      <c r="C267">
        <v>4.7</v>
      </c>
      <c r="D267">
        <v>4028</v>
      </c>
      <c r="E267">
        <v>9</v>
      </c>
      <c r="F267">
        <v>2009</v>
      </c>
      <c r="G267" t="s">
        <v>9</v>
      </c>
      <c r="H267" t="str">
        <f>+CONCATENATE(A267," ",B267)</f>
        <v>The Last Lecture Randy Pausch</v>
      </c>
      <c r="I267" t="str">
        <f t="shared" si="4"/>
        <v>Bajo</v>
      </c>
    </row>
    <row r="268" spans="1:9" hidden="1" x14ac:dyDescent="0.25">
      <c r="A268" t="s">
        <v>468</v>
      </c>
      <c r="B268" t="s">
        <v>333</v>
      </c>
      <c r="C268">
        <v>4.8</v>
      </c>
      <c r="D268">
        <v>4628</v>
      </c>
      <c r="E268">
        <v>7</v>
      </c>
      <c r="F268">
        <v>2009</v>
      </c>
      <c r="G268" t="s">
        <v>12</v>
      </c>
      <c r="H268" t="str">
        <f>+CONCATENATE(A268," ",B268)</f>
        <v>The Last Olympian (Percy Jackson and the Olympians, Book 5) Rick Riordan</v>
      </c>
      <c r="I268" t="str">
        <f t="shared" si="4"/>
        <v>Bajo</v>
      </c>
    </row>
    <row r="269" spans="1:9" hidden="1" x14ac:dyDescent="0.25">
      <c r="A269" t="s">
        <v>469</v>
      </c>
      <c r="B269" t="s">
        <v>470</v>
      </c>
      <c r="C269">
        <v>4.9000000000000004</v>
      </c>
      <c r="D269">
        <v>5396</v>
      </c>
      <c r="E269">
        <v>20</v>
      </c>
      <c r="F269">
        <v>2013</v>
      </c>
      <c r="G269" t="s">
        <v>12</v>
      </c>
      <c r="H269" t="str">
        <f>+CONCATENATE(A269," ",B269)</f>
        <v>The Legend of Zelda: Hyrule Historia Patrick Thorpe</v>
      </c>
      <c r="I269" t="str">
        <f t="shared" si="4"/>
        <v>Bajo</v>
      </c>
    </row>
    <row r="270" spans="1:9" hidden="1" x14ac:dyDescent="0.25">
      <c r="A270" t="s">
        <v>471</v>
      </c>
      <c r="B270" t="s">
        <v>472</v>
      </c>
      <c r="C270">
        <v>4.4000000000000004</v>
      </c>
      <c r="D270">
        <v>4247</v>
      </c>
      <c r="E270">
        <v>13</v>
      </c>
      <c r="F270">
        <v>2011</v>
      </c>
      <c r="G270" t="s">
        <v>9</v>
      </c>
      <c r="H270" t="str">
        <f>+CONCATENATE(A270," ",B270)</f>
        <v>The Lego Ideas Book: Unlock Your Imagination Daniel Lipkowitz</v>
      </c>
      <c r="I270" t="str">
        <f t="shared" si="4"/>
        <v>Bajo</v>
      </c>
    </row>
    <row r="271" spans="1:9" hidden="1" x14ac:dyDescent="0.25">
      <c r="A271" t="s">
        <v>473</v>
      </c>
      <c r="B271" t="s">
        <v>474</v>
      </c>
      <c r="C271">
        <v>4.5</v>
      </c>
      <c r="D271">
        <v>22641</v>
      </c>
      <c r="E271">
        <v>11</v>
      </c>
      <c r="F271">
        <v>2015</v>
      </c>
      <c r="G271" t="s">
        <v>9</v>
      </c>
      <c r="H271" t="str">
        <f>+CONCATENATE(A271," ",B271)</f>
        <v>The Life-Changing Magic of Tidying Up: The Japanese Art of Decluttering and Organizing Marie Kondō</v>
      </c>
      <c r="I271" t="str">
        <f t="shared" si="4"/>
        <v>Bajo</v>
      </c>
    </row>
    <row r="272" spans="1:9" hidden="1" x14ac:dyDescent="0.25">
      <c r="A272" t="s">
        <v>475</v>
      </c>
      <c r="B272" t="s">
        <v>377</v>
      </c>
      <c r="C272">
        <v>4.4000000000000004</v>
      </c>
      <c r="D272">
        <v>6222</v>
      </c>
      <c r="E272">
        <v>18</v>
      </c>
      <c r="F272">
        <v>2011</v>
      </c>
      <c r="G272" t="s">
        <v>12</v>
      </c>
      <c r="H272" t="str">
        <f>+CONCATENATE(A272," ",B272)</f>
        <v>The Litigators John Grisham</v>
      </c>
      <c r="I272" t="str">
        <f t="shared" si="4"/>
        <v>Bajo</v>
      </c>
    </row>
    <row r="273" spans="1:9" hidden="1" x14ac:dyDescent="0.25">
      <c r="A273" t="s">
        <v>476</v>
      </c>
      <c r="B273" t="s">
        <v>333</v>
      </c>
      <c r="C273">
        <v>4.8</v>
      </c>
      <c r="D273">
        <v>4506</v>
      </c>
      <c r="E273">
        <v>14</v>
      </c>
      <c r="F273">
        <v>2010</v>
      </c>
      <c r="G273" t="s">
        <v>12</v>
      </c>
      <c r="H273" t="str">
        <f>+CONCATENATE(A273," ",B273)</f>
        <v>The Lost Hero (Heroes of Olympus, Book 1) Rick Riordan</v>
      </c>
      <c r="I273" t="str">
        <f t="shared" si="4"/>
        <v>Bajo</v>
      </c>
    </row>
    <row r="274" spans="1:9" hidden="1" x14ac:dyDescent="0.25">
      <c r="A274" t="s">
        <v>477</v>
      </c>
      <c r="B274" t="s">
        <v>245</v>
      </c>
      <c r="C274">
        <v>4.2</v>
      </c>
      <c r="D274">
        <v>8747</v>
      </c>
      <c r="E274">
        <v>19</v>
      </c>
      <c r="F274">
        <v>2009</v>
      </c>
      <c r="G274" t="s">
        <v>12</v>
      </c>
      <c r="H274" t="str">
        <f>+CONCATENATE(A274," ",B274)</f>
        <v>The Lost Symbol Dan Brown</v>
      </c>
      <c r="I274" t="str">
        <f t="shared" si="4"/>
        <v>Bajo</v>
      </c>
    </row>
    <row r="275" spans="1:9" hidden="1" x14ac:dyDescent="0.25">
      <c r="A275" t="s">
        <v>478</v>
      </c>
      <c r="B275" t="s">
        <v>479</v>
      </c>
      <c r="C275">
        <v>4.8</v>
      </c>
      <c r="D275">
        <v>1655</v>
      </c>
      <c r="E275">
        <v>13</v>
      </c>
      <c r="F275">
        <v>2009</v>
      </c>
      <c r="G275" t="s">
        <v>9</v>
      </c>
      <c r="H275" t="str">
        <f>+CONCATENATE(A275," ",B275)</f>
        <v>The Love Dare Stephen Kendrick</v>
      </c>
      <c r="I275" t="str">
        <f t="shared" si="4"/>
        <v>Bajo</v>
      </c>
    </row>
    <row r="276" spans="1:9" hidden="1" x14ac:dyDescent="0.25">
      <c r="A276" t="s">
        <v>480</v>
      </c>
      <c r="B276" t="s">
        <v>481</v>
      </c>
      <c r="C276">
        <v>4.9000000000000004</v>
      </c>
      <c r="D276">
        <v>7861</v>
      </c>
      <c r="E276">
        <v>5</v>
      </c>
      <c r="F276">
        <v>2016</v>
      </c>
      <c r="G276" t="s">
        <v>9</v>
      </c>
      <c r="H276" t="str">
        <f>+CONCATENATE(A276," ",B276)</f>
        <v>The Magnolia Story Chip Gaines</v>
      </c>
      <c r="I276" t="str">
        <f t="shared" si="4"/>
        <v>Bajo</v>
      </c>
    </row>
    <row r="277" spans="1:9" hidden="1" x14ac:dyDescent="0.25">
      <c r="A277" t="s">
        <v>482</v>
      </c>
      <c r="B277" t="s">
        <v>333</v>
      </c>
      <c r="C277">
        <v>4.8</v>
      </c>
      <c r="D277">
        <v>6247</v>
      </c>
      <c r="E277">
        <v>10</v>
      </c>
      <c r="F277">
        <v>2012</v>
      </c>
      <c r="G277" t="s">
        <v>12</v>
      </c>
      <c r="H277" t="str">
        <f>+CONCATENATE(A277," ",B277)</f>
        <v>The Mark of Athena (Heroes of Olympus, Book 3) Rick Riordan</v>
      </c>
      <c r="I277" t="str">
        <f t="shared" si="4"/>
        <v>Bajo</v>
      </c>
    </row>
    <row r="278" spans="1:9" hidden="1" x14ac:dyDescent="0.25">
      <c r="A278" t="s">
        <v>483</v>
      </c>
      <c r="B278" t="s">
        <v>484</v>
      </c>
      <c r="C278">
        <v>4.7</v>
      </c>
      <c r="D278">
        <v>39459</v>
      </c>
      <c r="E278">
        <v>9</v>
      </c>
      <c r="F278">
        <v>2015</v>
      </c>
      <c r="G278" t="s">
        <v>12</v>
      </c>
      <c r="H278" t="str">
        <f>+CONCATENATE(A278," ",B278)</f>
        <v>The Martian Andy Weir</v>
      </c>
      <c r="I278" t="str">
        <f t="shared" si="4"/>
        <v>Bajo</v>
      </c>
    </row>
    <row r="279" spans="1:9" hidden="1" x14ac:dyDescent="0.25">
      <c r="A279" t="s">
        <v>485</v>
      </c>
      <c r="B279" t="s">
        <v>486</v>
      </c>
      <c r="C279">
        <v>4.5</v>
      </c>
      <c r="D279">
        <v>10101</v>
      </c>
      <c r="E279">
        <v>8</v>
      </c>
      <c r="F279">
        <v>2014</v>
      </c>
      <c r="G279" t="s">
        <v>12</v>
      </c>
      <c r="H279" t="str">
        <f>+CONCATENATE(A279," ",B279)</f>
        <v>The Maze Runner (Book 1) James Dashner</v>
      </c>
      <c r="I279" t="str">
        <f t="shared" si="4"/>
        <v>Bajo</v>
      </c>
    </row>
    <row r="280" spans="1:9" hidden="1" x14ac:dyDescent="0.25">
      <c r="A280" t="s">
        <v>487</v>
      </c>
      <c r="B280" t="s">
        <v>80</v>
      </c>
      <c r="C280">
        <v>4.8</v>
      </c>
      <c r="D280">
        <v>5898</v>
      </c>
      <c r="E280">
        <v>8</v>
      </c>
      <c r="F280">
        <v>2018</v>
      </c>
      <c r="G280" t="s">
        <v>12</v>
      </c>
      <c r="H280" t="str">
        <f>+CONCATENATE(A280," ",B280)</f>
        <v>The Meltdown (Diary of a Wimpy Kid Book 13) Jeff Kinney</v>
      </c>
      <c r="I280" t="str">
        <f t="shared" si="4"/>
        <v>Bajo</v>
      </c>
    </row>
    <row r="281" spans="1:9" hidden="1" x14ac:dyDescent="0.25">
      <c r="A281" t="s">
        <v>488</v>
      </c>
      <c r="B281" t="s">
        <v>489</v>
      </c>
      <c r="C281">
        <v>4.5999999999999996</v>
      </c>
      <c r="D281">
        <v>2744</v>
      </c>
      <c r="E281">
        <v>12</v>
      </c>
      <c r="F281">
        <v>2019</v>
      </c>
      <c r="G281" t="s">
        <v>9</v>
      </c>
      <c r="H281" t="str">
        <f>+CONCATENATE(A281," ",B281)</f>
        <v>The Mueller Report The Washington Post</v>
      </c>
      <c r="I281" t="str">
        <f t="shared" si="4"/>
        <v>Bajo</v>
      </c>
    </row>
    <row r="282" spans="1:9" hidden="1" x14ac:dyDescent="0.25">
      <c r="A282" t="s">
        <v>490</v>
      </c>
      <c r="B282" t="s">
        <v>491</v>
      </c>
      <c r="C282">
        <v>4.8</v>
      </c>
      <c r="D282">
        <v>49288</v>
      </c>
      <c r="E282">
        <v>11</v>
      </c>
      <c r="F282">
        <v>2015</v>
      </c>
      <c r="G282" t="s">
        <v>12</v>
      </c>
      <c r="H282" t="str">
        <f>+CONCATENATE(A282," ",B282)</f>
        <v>The Nightingale: A Novel Kristin Hannah</v>
      </c>
      <c r="I282" t="str">
        <f t="shared" si="4"/>
        <v>Bajo</v>
      </c>
    </row>
    <row r="283" spans="1:9" hidden="1" x14ac:dyDescent="0.25">
      <c r="A283" t="s">
        <v>492</v>
      </c>
      <c r="B283" t="s">
        <v>493</v>
      </c>
      <c r="C283">
        <v>4.4000000000000004</v>
      </c>
      <c r="D283">
        <v>1201</v>
      </c>
      <c r="E283">
        <v>40</v>
      </c>
      <c r="F283">
        <v>2010</v>
      </c>
      <c r="G283" t="s">
        <v>9</v>
      </c>
      <c r="H283" t="str">
        <f>+CONCATENATE(A283," ",B283)</f>
        <v>The Official SAT Study Guide The College Board</v>
      </c>
      <c r="I283" t="str">
        <f t="shared" si="4"/>
        <v>Medio</v>
      </c>
    </row>
    <row r="284" spans="1:9" hidden="1" x14ac:dyDescent="0.25">
      <c r="A284" t="s">
        <v>494</v>
      </c>
      <c r="B284" t="s">
        <v>493</v>
      </c>
      <c r="C284">
        <v>4.3</v>
      </c>
      <c r="D284">
        <v>807</v>
      </c>
      <c r="E284">
        <v>36</v>
      </c>
      <c r="F284">
        <v>2016</v>
      </c>
      <c r="G284" t="s">
        <v>9</v>
      </c>
      <c r="H284" t="str">
        <f>+CONCATENATE(A284," ",B284)</f>
        <v>The Official SAT Study Guide, 2016 Edition (Official Study Guide for the New Sat) The College Board</v>
      </c>
      <c r="I284" t="str">
        <f t="shared" si="4"/>
        <v>Medio</v>
      </c>
    </row>
    <row r="285" spans="1:9" hidden="1" x14ac:dyDescent="0.25">
      <c r="A285" t="s">
        <v>495</v>
      </c>
      <c r="B285" t="s">
        <v>496</v>
      </c>
      <c r="C285">
        <v>4.3</v>
      </c>
      <c r="D285">
        <v>3759</v>
      </c>
      <c r="E285">
        <v>16</v>
      </c>
      <c r="F285">
        <v>2011</v>
      </c>
      <c r="G285" t="s">
        <v>12</v>
      </c>
      <c r="H285" t="str">
        <f>+CONCATENATE(A285," ",B285)</f>
        <v>The Paris Wife: A Novel Paula McLain</v>
      </c>
      <c r="I285" t="str">
        <f t="shared" si="4"/>
        <v>Bajo</v>
      </c>
    </row>
    <row r="286" spans="1:9" hidden="1" x14ac:dyDescent="0.25">
      <c r="A286" t="s">
        <v>497</v>
      </c>
      <c r="B286" t="s">
        <v>498</v>
      </c>
      <c r="C286">
        <v>4.8</v>
      </c>
      <c r="D286">
        <v>2663</v>
      </c>
      <c r="E286">
        <v>17</v>
      </c>
      <c r="F286">
        <v>2013</v>
      </c>
      <c r="G286" t="s">
        <v>9</v>
      </c>
      <c r="H286" t="str">
        <f>+CONCATENATE(A286," ",B286)</f>
        <v>The Pioneer Woman Cooks: A Year of Holidays: 140 Step-by-Step Recipes for Simple, Scrumptious Celebrations Ree Drummond</v>
      </c>
      <c r="I286" t="str">
        <f t="shared" si="4"/>
        <v>Bajo</v>
      </c>
    </row>
    <row r="287" spans="1:9" hidden="1" x14ac:dyDescent="0.25">
      <c r="A287" t="s">
        <v>499</v>
      </c>
      <c r="B287" t="s">
        <v>498</v>
      </c>
      <c r="C287">
        <v>4.8</v>
      </c>
      <c r="D287">
        <v>3428</v>
      </c>
      <c r="E287">
        <v>14</v>
      </c>
      <c r="F287">
        <v>2015</v>
      </c>
      <c r="G287" t="s">
        <v>9</v>
      </c>
      <c r="H287" t="str">
        <f>+CONCATENATE(A287," ",B287)</f>
        <v>The Pioneer Woman Cooks: Dinnertime - Comfort Classics, Freezer Food, 16-minute Meals, and Other Delicious Ways to Solve… Ree Drummond</v>
      </c>
      <c r="I287" t="str">
        <f t="shared" si="4"/>
        <v>Bajo</v>
      </c>
    </row>
    <row r="288" spans="1:9" hidden="1" x14ac:dyDescent="0.25">
      <c r="A288" t="s">
        <v>500</v>
      </c>
      <c r="B288" t="s">
        <v>498</v>
      </c>
      <c r="C288">
        <v>4.8</v>
      </c>
      <c r="D288">
        <v>2876</v>
      </c>
      <c r="E288">
        <v>21</v>
      </c>
      <c r="F288">
        <v>2012</v>
      </c>
      <c r="G288" t="s">
        <v>9</v>
      </c>
      <c r="H288" t="str">
        <f>+CONCATENATE(A288," ",B288)</f>
        <v>The Pioneer Woman Cooks: Food from My Frontier Ree Drummond</v>
      </c>
      <c r="I288" t="str">
        <f t="shared" si="4"/>
        <v>Bajo</v>
      </c>
    </row>
    <row r="289" spans="1:9" hidden="1" x14ac:dyDescent="0.25">
      <c r="A289" t="s">
        <v>501</v>
      </c>
      <c r="B289" t="s">
        <v>502</v>
      </c>
      <c r="C289">
        <v>4.5</v>
      </c>
      <c r="D289">
        <v>3601</v>
      </c>
      <c r="E289">
        <v>18</v>
      </c>
      <c r="F289">
        <v>2018</v>
      </c>
      <c r="G289" t="s">
        <v>9</v>
      </c>
      <c r="H289" t="str">
        <f>+CONCATENATE(A289," ",B289)</f>
        <v>The Plant Paradox Cookbook: 100 Delicious Recipes to Help You Lose Weight, Heal Your Gut, and Live Lectin-Free Dr. Steven R Gundry MD</v>
      </c>
      <c r="I289" t="str">
        <f t="shared" si="4"/>
        <v>Bajo</v>
      </c>
    </row>
    <row r="290" spans="1:9" hidden="1" x14ac:dyDescent="0.25">
      <c r="A290" t="s">
        <v>503</v>
      </c>
      <c r="B290" t="s">
        <v>502</v>
      </c>
      <c r="C290">
        <v>4.4000000000000004</v>
      </c>
      <c r="D290">
        <v>7058</v>
      </c>
      <c r="E290">
        <v>17</v>
      </c>
      <c r="F290">
        <v>2018</v>
      </c>
      <c r="G290" t="s">
        <v>9</v>
      </c>
      <c r="H290" t="str">
        <f>+CONCATENATE(A290," ",B290)</f>
        <v>The Plant Paradox: The Hidden Dangers in "Healthy" Foods That Cause Disease and Weight Gain Dr. Steven R Gundry MD</v>
      </c>
      <c r="I290" t="str">
        <f t="shared" si="4"/>
        <v>Bajo</v>
      </c>
    </row>
    <row r="291" spans="1:9" hidden="1" x14ac:dyDescent="0.25">
      <c r="A291" t="s">
        <v>504</v>
      </c>
      <c r="B291" t="s">
        <v>505</v>
      </c>
      <c r="C291">
        <v>4.8</v>
      </c>
      <c r="D291">
        <v>9784</v>
      </c>
      <c r="E291">
        <v>5</v>
      </c>
      <c r="F291">
        <v>2017</v>
      </c>
      <c r="G291" t="s">
        <v>12</v>
      </c>
      <c r="H291" t="str">
        <f>+CONCATENATE(A291," ",B291)</f>
        <v>The Pout-Pout Fish Deborah Diesen</v>
      </c>
      <c r="I291" t="str">
        <f t="shared" si="4"/>
        <v>Bajo</v>
      </c>
    </row>
    <row r="292" spans="1:9" hidden="1" x14ac:dyDescent="0.25">
      <c r="A292" t="s">
        <v>506</v>
      </c>
      <c r="B292" t="s">
        <v>507</v>
      </c>
      <c r="C292">
        <v>4.5999999999999996</v>
      </c>
      <c r="D292">
        <v>10795</v>
      </c>
      <c r="E292">
        <v>21</v>
      </c>
      <c r="F292">
        <v>2012</v>
      </c>
      <c r="G292" t="s">
        <v>9</v>
      </c>
      <c r="H292" t="str">
        <f>+CONCATENATE(A292," ",B292)</f>
        <v>The Power of Habit: Why We Do What We Do in Life and Business Charles Duhigg</v>
      </c>
      <c r="I292" t="str">
        <f t="shared" si="4"/>
        <v>Bajo</v>
      </c>
    </row>
    <row r="293" spans="1:9" hidden="1" x14ac:dyDescent="0.25">
      <c r="A293" t="s">
        <v>508</v>
      </c>
      <c r="B293" t="s">
        <v>237</v>
      </c>
      <c r="C293">
        <v>4.3</v>
      </c>
      <c r="D293">
        <v>10191</v>
      </c>
      <c r="E293">
        <v>18</v>
      </c>
      <c r="F293">
        <v>2018</v>
      </c>
      <c r="G293" t="s">
        <v>12</v>
      </c>
      <c r="H293" t="str">
        <f>+CONCATENATE(A293," ",B293)</f>
        <v>The President Is Missing: A Novel James Patterson</v>
      </c>
      <c r="I293" t="str">
        <f t="shared" si="4"/>
        <v>Bajo</v>
      </c>
    </row>
    <row r="294" spans="1:9" hidden="1" x14ac:dyDescent="0.25">
      <c r="A294" t="s">
        <v>509</v>
      </c>
      <c r="B294" t="s">
        <v>377</v>
      </c>
      <c r="C294">
        <v>4.3</v>
      </c>
      <c r="D294">
        <v>14493</v>
      </c>
      <c r="E294">
        <v>18</v>
      </c>
      <c r="F294">
        <v>2012</v>
      </c>
      <c r="G294" t="s">
        <v>12</v>
      </c>
      <c r="H294" t="str">
        <f>+CONCATENATE(A294," ",B294)</f>
        <v>The Racketeer John Grisham</v>
      </c>
      <c r="I294" t="str">
        <f t="shared" si="4"/>
        <v>Bajo</v>
      </c>
    </row>
    <row r="295" spans="1:9" hidden="1" x14ac:dyDescent="0.25">
      <c r="A295" t="s">
        <v>510</v>
      </c>
      <c r="B295" t="s">
        <v>333</v>
      </c>
      <c r="C295">
        <v>4.5999999999999996</v>
      </c>
      <c r="D295">
        <v>2186</v>
      </c>
      <c r="E295">
        <v>12</v>
      </c>
      <c r="F295">
        <v>2010</v>
      </c>
      <c r="G295" t="s">
        <v>12</v>
      </c>
      <c r="H295" t="str">
        <f>+CONCATENATE(A295," ",B295)</f>
        <v>The Red Pyramid (The Kane Chronicles, Book 1) Rick Riordan</v>
      </c>
      <c r="I295" t="str">
        <f t="shared" si="4"/>
        <v>Bajo</v>
      </c>
    </row>
    <row r="296" spans="1:9" hidden="1" x14ac:dyDescent="0.25">
      <c r="A296" t="s">
        <v>511</v>
      </c>
      <c r="B296" t="s">
        <v>512</v>
      </c>
      <c r="C296">
        <v>4.5999999999999996</v>
      </c>
      <c r="D296">
        <v>1204</v>
      </c>
      <c r="E296">
        <v>14</v>
      </c>
      <c r="F296">
        <v>2010</v>
      </c>
      <c r="G296" t="s">
        <v>9</v>
      </c>
      <c r="H296" t="str">
        <f>+CONCATENATE(A296," ",B296)</f>
        <v>The Road to Serfdom: Text and Documents--The Definitive Edition (The Collected Works of F. A. Hayek, Volume 2) F. A. Hayek</v>
      </c>
      <c r="I296" t="str">
        <f t="shared" si="4"/>
        <v>Bajo</v>
      </c>
    </row>
    <row r="297" spans="1:9" hidden="1" x14ac:dyDescent="0.25">
      <c r="A297" t="s">
        <v>513</v>
      </c>
      <c r="B297" t="s">
        <v>333</v>
      </c>
      <c r="C297">
        <v>4.8</v>
      </c>
      <c r="D297">
        <v>2091</v>
      </c>
      <c r="E297">
        <v>12</v>
      </c>
      <c r="F297">
        <v>2012</v>
      </c>
      <c r="G297" t="s">
        <v>12</v>
      </c>
      <c r="H297" t="str">
        <f>+CONCATENATE(A297," ",B297)</f>
        <v>The Serpent's Shadow (The Kane Chronicles, Book 3) Rick Riordan</v>
      </c>
      <c r="I297" t="str">
        <f t="shared" si="4"/>
        <v>Bajo</v>
      </c>
    </row>
    <row r="298" spans="1:9" hidden="1" x14ac:dyDescent="0.25">
      <c r="A298" t="s">
        <v>514</v>
      </c>
      <c r="B298" t="s">
        <v>515</v>
      </c>
      <c r="C298">
        <v>4.5999999999999996</v>
      </c>
      <c r="D298">
        <v>19720</v>
      </c>
      <c r="E298">
        <v>8</v>
      </c>
      <c r="F298">
        <v>2009</v>
      </c>
      <c r="G298" t="s">
        <v>12</v>
      </c>
      <c r="H298" t="str">
        <f>+CONCATENATE(A298," ",B298)</f>
        <v>The Shack: Where Tragedy Confronts Eternity William P. Young</v>
      </c>
      <c r="I298" t="str">
        <f t="shared" si="4"/>
        <v>Bajo</v>
      </c>
    </row>
    <row r="299" spans="1:9" hidden="1" x14ac:dyDescent="0.25">
      <c r="A299" t="s">
        <v>516</v>
      </c>
      <c r="B299" t="s">
        <v>75</v>
      </c>
      <c r="C299">
        <v>4.5999999999999996</v>
      </c>
      <c r="D299">
        <v>2122</v>
      </c>
      <c r="E299">
        <v>0</v>
      </c>
      <c r="F299">
        <v>2010</v>
      </c>
      <c r="G299" t="s">
        <v>12</v>
      </c>
      <c r="H299" t="str">
        <f>+CONCATENATE(A299," ",B299)</f>
        <v>The Short Second Life of Bree Tanner: An Eclipse Novella (The Twilight Saga) Stephenie Meyer</v>
      </c>
      <c r="I299" t="str">
        <f t="shared" si="4"/>
        <v>Bajo</v>
      </c>
    </row>
    <row r="300" spans="1:9" hidden="1" x14ac:dyDescent="0.25">
      <c r="A300" t="s">
        <v>517</v>
      </c>
      <c r="B300" t="s">
        <v>518</v>
      </c>
      <c r="C300">
        <v>4.5</v>
      </c>
      <c r="D300">
        <v>27536</v>
      </c>
      <c r="E300">
        <v>14</v>
      </c>
      <c r="F300">
        <v>2019</v>
      </c>
      <c r="G300" t="s">
        <v>12</v>
      </c>
      <c r="H300" t="str">
        <f>+CONCATENATE(A300," ",B300)</f>
        <v>The Silent Patient Alex Michaelides</v>
      </c>
      <c r="I300" t="str">
        <f t="shared" si="4"/>
        <v>Bajo</v>
      </c>
    </row>
    <row r="301" spans="1:9" hidden="1" x14ac:dyDescent="0.25">
      <c r="A301" t="s">
        <v>519</v>
      </c>
      <c r="B301" t="s">
        <v>333</v>
      </c>
      <c r="C301">
        <v>4.8</v>
      </c>
      <c r="D301">
        <v>4290</v>
      </c>
      <c r="E301">
        <v>10</v>
      </c>
      <c r="F301">
        <v>2011</v>
      </c>
      <c r="G301" t="s">
        <v>12</v>
      </c>
      <c r="H301" t="str">
        <f>+CONCATENATE(A301," ",B301)</f>
        <v>The Son of Neptune (Heroes of Olympus, Book 2) Rick Riordan</v>
      </c>
      <c r="I301" t="str">
        <f t="shared" si="4"/>
        <v>Bajo</v>
      </c>
    </row>
    <row r="302" spans="1:9" hidden="1" x14ac:dyDescent="0.25">
      <c r="A302" t="s">
        <v>520</v>
      </c>
      <c r="B302" t="s">
        <v>521</v>
      </c>
      <c r="C302">
        <v>4.5999999999999996</v>
      </c>
      <c r="D302">
        <v>26490</v>
      </c>
      <c r="E302">
        <v>15</v>
      </c>
      <c r="F302">
        <v>2017</v>
      </c>
      <c r="G302" t="s">
        <v>9</v>
      </c>
      <c r="H302" t="str">
        <f>+CONCATENATE(A302," ",B302)</f>
        <v>The Subtle Art of Not Giving a F*ck: A Counterintuitive Approach to Living a Good Life Mark Manson</v>
      </c>
      <c r="I302" t="str">
        <f t="shared" si="4"/>
        <v>Bajo</v>
      </c>
    </row>
    <row r="303" spans="1:9" hidden="1" x14ac:dyDescent="0.25">
      <c r="A303" t="s">
        <v>522</v>
      </c>
      <c r="B303" t="s">
        <v>301</v>
      </c>
      <c r="C303">
        <v>4.7</v>
      </c>
      <c r="D303">
        <v>5487</v>
      </c>
      <c r="E303">
        <v>9</v>
      </c>
      <c r="F303">
        <v>2017</v>
      </c>
      <c r="G303" t="s">
        <v>9</v>
      </c>
      <c r="H303" t="str">
        <f>+CONCATENATE(A303," ",B303)</f>
        <v>The Sun and Her Flowers Rupi Kaur</v>
      </c>
      <c r="I303" t="str">
        <f t="shared" si="4"/>
        <v>Bajo</v>
      </c>
    </row>
    <row r="304" spans="1:9" hidden="1" x14ac:dyDescent="0.25">
      <c r="A304" t="s">
        <v>523</v>
      </c>
      <c r="B304" t="s">
        <v>80</v>
      </c>
      <c r="C304">
        <v>4.7</v>
      </c>
      <c r="D304">
        <v>6377</v>
      </c>
      <c r="E304">
        <v>7</v>
      </c>
      <c r="F304">
        <v>2012</v>
      </c>
      <c r="G304" t="s">
        <v>12</v>
      </c>
      <c r="H304" t="str">
        <f>+CONCATENATE(A304," ",B304)</f>
        <v>The Third Wheel (Diary of a Wimpy Kid, Book 7) Jeff Kinney</v>
      </c>
      <c r="I304" t="str">
        <f t="shared" si="4"/>
        <v>Bajo</v>
      </c>
    </row>
    <row r="305" spans="1:9" hidden="1" x14ac:dyDescent="0.25">
      <c r="A305" t="s">
        <v>524</v>
      </c>
      <c r="B305" t="s">
        <v>333</v>
      </c>
      <c r="C305">
        <v>4.7</v>
      </c>
      <c r="D305">
        <v>1463</v>
      </c>
      <c r="E305">
        <v>10</v>
      </c>
      <c r="F305">
        <v>2011</v>
      </c>
      <c r="G305" t="s">
        <v>12</v>
      </c>
      <c r="H305" t="str">
        <f>+CONCATENATE(A305," ",B305)</f>
        <v>The Throne of Fire (The Kane Chronicles, Book 2) Rick Riordan</v>
      </c>
      <c r="I305" t="str">
        <f t="shared" si="4"/>
        <v>Bajo</v>
      </c>
    </row>
    <row r="306" spans="1:9" hidden="1" x14ac:dyDescent="0.25">
      <c r="A306" t="s">
        <v>525</v>
      </c>
      <c r="B306" t="s">
        <v>526</v>
      </c>
      <c r="C306">
        <v>4.4000000000000004</v>
      </c>
      <c r="D306">
        <v>3759</v>
      </c>
      <c r="E306">
        <v>6</v>
      </c>
      <c r="F306">
        <v>2009</v>
      </c>
      <c r="G306" t="s">
        <v>12</v>
      </c>
      <c r="H306" t="str">
        <f>+CONCATENATE(A306," ",B306)</f>
        <v>The Time Traveler's Wife Audrey Niffenegger</v>
      </c>
      <c r="I306" t="str">
        <f t="shared" si="4"/>
        <v>Bajo</v>
      </c>
    </row>
    <row r="307" spans="1:9" hidden="1" x14ac:dyDescent="0.25">
      <c r="A307" t="s">
        <v>527</v>
      </c>
      <c r="B307" t="s">
        <v>103</v>
      </c>
      <c r="C307">
        <v>4.4000000000000004</v>
      </c>
      <c r="D307">
        <v>3503</v>
      </c>
      <c r="E307">
        <v>9</v>
      </c>
      <c r="F307">
        <v>2009</v>
      </c>
      <c r="G307" t="s">
        <v>9</v>
      </c>
      <c r="H307" t="str">
        <f>+CONCATENATE(A307," ",B307)</f>
        <v>The Tipping Point: How Little Things Can Make a Big Difference Malcolm Gladwell</v>
      </c>
      <c r="I307" t="str">
        <f t="shared" si="4"/>
        <v>Bajo</v>
      </c>
    </row>
    <row r="308" spans="1:9" hidden="1" x14ac:dyDescent="0.25">
      <c r="A308" t="s">
        <v>528</v>
      </c>
      <c r="B308" t="s">
        <v>529</v>
      </c>
      <c r="C308">
        <v>4.7</v>
      </c>
      <c r="D308">
        <v>11550</v>
      </c>
      <c r="E308">
        <v>10</v>
      </c>
      <c r="F308">
        <v>2019</v>
      </c>
      <c r="G308" t="s">
        <v>9</v>
      </c>
      <c r="H308" t="str">
        <f>+CONCATENATE(A308," ",B308)</f>
        <v>The Total Money Makeover: Classic Edition: A Proven Plan for Financial Fitness Dave Ramsey</v>
      </c>
      <c r="I308" t="str">
        <f t="shared" si="4"/>
        <v>Bajo</v>
      </c>
    </row>
    <row r="309" spans="1:9" hidden="1" x14ac:dyDescent="0.25">
      <c r="A309" t="s">
        <v>530</v>
      </c>
      <c r="B309" t="s">
        <v>75</v>
      </c>
      <c r="C309">
        <v>4.7</v>
      </c>
      <c r="D309">
        <v>3801</v>
      </c>
      <c r="E309">
        <v>82</v>
      </c>
      <c r="F309">
        <v>2009</v>
      </c>
      <c r="G309" t="s">
        <v>12</v>
      </c>
      <c r="H309" t="str">
        <f>+CONCATENATE(A309," ",B309)</f>
        <v>The Twilight Saga Collection Stephenie Meyer</v>
      </c>
      <c r="I309" t="str">
        <f t="shared" si="4"/>
        <v>Alto</v>
      </c>
    </row>
    <row r="310" spans="1:9" hidden="1" x14ac:dyDescent="0.25">
      <c r="A310" t="s">
        <v>531</v>
      </c>
      <c r="B310" t="s">
        <v>80</v>
      </c>
      <c r="C310">
        <v>4.8</v>
      </c>
      <c r="D310">
        <v>3796</v>
      </c>
      <c r="E310">
        <v>12</v>
      </c>
      <c r="F310">
        <v>2010</v>
      </c>
      <c r="G310" t="s">
        <v>12</v>
      </c>
      <c r="H310" t="str">
        <f>+CONCATENATE(A310," ",B310)</f>
        <v>The Ugly Truth (Diary of a Wimpy Kid, Book 5) Jeff Kinney</v>
      </c>
      <c r="I310" t="str">
        <f t="shared" si="4"/>
        <v>Bajo</v>
      </c>
    </row>
    <row r="311" spans="1:9" hidden="1" x14ac:dyDescent="0.25">
      <c r="A311" t="s">
        <v>532</v>
      </c>
      <c r="B311" t="s">
        <v>533</v>
      </c>
      <c r="C311">
        <v>4.7</v>
      </c>
      <c r="D311">
        <v>9030</v>
      </c>
      <c r="E311">
        <v>10</v>
      </c>
      <c r="F311">
        <v>2019</v>
      </c>
      <c r="G311" t="s">
        <v>9</v>
      </c>
      <c r="H311" t="str">
        <f>+CONCATENATE(A311," ",B311)</f>
        <v>The Unofficial Harry Potter Cookbook: From Cauldron Cakes to Knickerbocker Glory--More Than 150 Magical Recipes for… Dinah Bucholz</v>
      </c>
      <c r="I311" t="str">
        <f t="shared" si="4"/>
        <v>Bajo</v>
      </c>
    </row>
    <row r="312" spans="1:9" hidden="1" x14ac:dyDescent="0.25">
      <c r="A312" t="s">
        <v>534</v>
      </c>
      <c r="B312" t="s">
        <v>535</v>
      </c>
      <c r="C312">
        <v>4.9000000000000004</v>
      </c>
      <c r="D312">
        <v>19546</v>
      </c>
      <c r="E312">
        <v>5</v>
      </c>
      <c r="F312">
        <v>2013</v>
      </c>
      <c r="G312" t="s">
        <v>12</v>
      </c>
      <c r="H312" t="str">
        <f>+CONCATENATE(A312," ",B312)</f>
        <v>The Very Hungry Caterpillar Eric Carle</v>
      </c>
      <c r="I312" t="str">
        <f t="shared" si="4"/>
        <v>Bajo</v>
      </c>
    </row>
    <row r="313" spans="1:9" hidden="1" x14ac:dyDescent="0.25">
      <c r="A313" t="s">
        <v>536</v>
      </c>
      <c r="B313" t="s">
        <v>537</v>
      </c>
      <c r="C313">
        <v>4.5999999999999996</v>
      </c>
      <c r="D313">
        <v>7508</v>
      </c>
      <c r="E313">
        <v>16</v>
      </c>
      <c r="F313">
        <v>2015</v>
      </c>
      <c r="G313" t="s">
        <v>9</v>
      </c>
      <c r="H313" t="str">
        <f>+CONCATENATE(A313," ",B313)</f>
        <v>The Whole30: The 30-Day Guide to Total Health and Food Freedom Melissa Hartwig Urban</v>
      </c>
      <c r="I313" t="str">
        <f t="shared" si="4"/>
        <v>Bajo</v>
      </c>
    </row>
    <row r="314" spans="1:9" hidden="1" x14ac:dyDescent="0.25">
      <c r="A314" t="s">
        <v>538</v>
      </c>
      <c r="B314" t="s">
        <v>539</v>
      </c>
      <c r="C314">
        <v>4.9000000000000004</v>
      </c>
      <c r="D314">
        <v>8842</v>
      </c>
      <c r="E314">
        <v>10</v>
      </c>
      <c r="F314">
        <v>2016</v>
      </c>
      <c r="G314" t="s">
        <v>12</v>
      </c>
      <c r="H314" t="str">
        <f>+CONCATENATE(A314," ",B314)</f>
        <v>The Wonderful Things You Will Be Emily Winfield Martin</v>
      </c>
      <c r="I314" t="str">
        <f t="shared" si="4"/>
        <v>Bajo</v>
      </c>
    </row>
    <row r="315" spans="1:9" x14ac:dyDescent="0.25">
      <c r="A315" s="1" t="s">
        <v>543</v>
      </c>
      <c r="B315" s="1"/>
      <c r="C315" s="2">
        <f>+AVERAGE(C3:C314)</f>
        <v>4.6060897435897408</v>
      </c>
      <c r="D315" s="2"/>
      <c r="E315" s="2">
        <f>+AVERAGE(E3:E314)</f>
        <v>13.028846153846153</v>
      </c>
    </row>
    <row r="316" spans="1:9" x14ac:dyDescent="0.25">
      <c r="A316" s="1" t="s">
        <v>544</v>
      </c>
      <c r="B316" s="1"/>
      <c r="C316" s="2">
        <f>+_xlfn.STDEV.P(C3:C314)</f>
        <v>0.23106796013835049</v>
      </c>
      <c r="D316" s="2"/>
      <c r="E316" s="2">
        <f>+_xlfn.STDEV.P(E3:E314)</f>
        <v>10.344814814216537</v>
      </c>
    </row>
    <row r="317" spans="1:9" x14ac:dyDescent="0.25">
      <c r="A317" s="1" t="s">
        <v>546</v>
      </c>
      <c r="B317" s="1"/>
      <c r="C317" s="2">
        <f>+MIN(C3:C314)</f>
        <v>3.3</v>
      </c>
      <c r="D317" s="2"/>
      <c r="E317" s="2">
        <f>+MIN(E3:E314)</f>
        <v>0</v>
      </c>
    </row>
    <row r="318" spans="1:9" x14ac:dyDescent="0.25">
      <c r="A318" s="1" t="s">
        <v>545</v>
      </c>
      <c r="B318" s="1"/>
      <c r="C318" s="2">
        <f>+MAX(C3:C314)</f>
        <v>4.9000000000000004</v>
      </c>
      <c r="D318" s="2"/>
      <c r="E318" s="2">
        <f>+MAX(E3:E314)</f>
        <v>105</v>
      </c>
    </row>
  </sheetData>
  <sheetProtection formatCells="0" formatColumns="0" formatRows="0" insertColumns="0" insertRows="0" insertHyperlinks="0" deleteColumns="0" deleteRows="0" sort="0" autoFilter="0" pivotTables="0"/>
  <autoFilter ref="A2:I318" xr:uid="{7DCF9891-846B-4372-97AA-2A5F577D685E}">
    <filterColumn colId="8">
      <filters blank="1"/>
    </filterColumn>
  </autoFilter>
  <mergeCells count="4">
    <mergeCell ref="A315:B315"/>
    <mergeCell ref="A316:B316"/>
    <mergeCell ref="A317:B317"/>
    <mergeCell ref="A318:B318"/>
  </mergeCells>
  <conditionalFormatting sqref="H2:H314 H493:H1048576 I2">
    <cfRule type="duplicateValues" dxfId="5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A282D-38C0-4453-BE81-B8B840E6A588}">
  <dimension ref="A1:I18"/>
  <sheetViews>
    <sheetView workbookViewId="0">
      <selection activeCell="A40" sqref="A40"/>
    </sheetView>
  </sheetViews>
  <sheetFormatPr baseColWidth="10" defaultRowHeight="15" x14ac:dyDescent="0.25"/>
  <cols>
    <col min="1" max="1" width="32.85546875" bestFit="1" customWidth="1"/>
    <col min="2" max="2" width="17.7109375" bestFit="1" customWidth="1"/>
    <col min="3" max="3" width="19" bestFit="1" customWidth="1"/>
    <col min="4" max="4" width="25.42578125" bestFit="1" customWidth="1"/>
    <col min="5" max="5" width="12.7109375" bestFit="1" customWidth="1"/>
    <col min="6" max="6" width="15.85546875" bestFit="1" customWidth="1"/>
    <col min="7" max="7" width="12.85546875" bestFit="1" customWidth="1"/>
    <col min="8" max="8" width="13.5703125" bestFit="1" customWidth="1"/>
    <col min="9" max="9" width="14.42578125" bestFit="1" customWidth="1"/>
  </cols>
  <sheetData>
    <row r="1" spans="1:9" x14ac:dyDescent="0.25">
      <c r="A1" t="s">
        <v>548</v>
      </c>
    </row>
    <row r="2" spans="1:9" ht="15.75" thickBot="1" x14ac:dyDescent="0.3"/>
    <row r="3" spans="1:9" x14ac:dyDescent="0.25">
      <c r="A3" s="7" t="s">
        <v>549</v>
      </c>
      <c r="B3" s="7"/>
    </row>
    <row r="4" spans="1:9" x14ac:dyDescent="0.25">
      <c r="A4" s="4" t="s">
        <v>550</v>
      </c>
      <c r="B4" s="4">
        <v>3.4859385325019199E-2</v>
      </c>
    </row>
    <row r="5" spans="1:9" x14ac:dyDescent="0.25">
      <c r="A5" s="4" t="s">
        <v>551</v>
      </c>
      <c r="B5" s="4">
        <v>1.2151767452381638E-3</v>
      </c>
    </row>
    <row r="6" spans="1:9" x14ac:dyDescent="0.25">
      <c r="A6" s="4" t="s">
        <v>552</v>
      </c>
      <c r="B6" s="4">
        <v>-2.0171365986283792E-3</v>
      </c>
    </row>
    <row r="7" spans="1:9" x14ac:dyDescent="0.25">
      <c r="A7" s="4" t="s">
        <v>553</v>
      </c>
      <c r="B7" s="4">
        <v>0.23198419352967456</v>
      </c>
    </row>
    <row r="8" spans="1:9" ht="15.75" thickBot="1" x14ac:dyDescent="0.3">
      <c r="A8" s="5" t="s">
        <v>554</v>
      </c>
      <c r="B8" s="5">
        <v>311</v>
      </c>
    </row>
    <row r="10" spans="1:9" ht="15.75" thickBot="1" x14ac:dyDescent="0.3">
      <c r="A10" t="s">
        <v>555</v>
      </c>
    </row>
    <row r="11" spans="1:9" x14ac:dyDescent="0.25">
      <c r="A11" s="6"/>
      <c r="B11" s="6" t="s">
        <v>560</v>
      </c>
      <c r="C11" s="6" t="s">
        <v>561</v>
      </c>
      <c r="D11" s="6" t="s">
        <v>562</v>
      </c>
      <c r="E11" s="6" t="s">
        <v>563</v>
      </c>
      <c r="F11" s="6" t="s">
        <v>564</v>
      </c>
    </row>
    <row r="12" spans="1:9" x14ac:dyDescent="0.25">
      <c r="A12" s="4" t="s">
        <v>556</v>
      </c>
      <c r="B12" s="4">
        <v>1</v>
      </c>
      <c r="C12" s="4">
        <v>2.0232184856521229E-2</v>
      </c>
      <c r="D12" s="4">
        <v>2.0232184856521229E-2</v>
      </c>
      <c r="E12" s="4">
        <v>0.37594645566897628</v>
      </c>
      <c r="F12" s="4">
        <v>0.54023168000334543</v>
      </c>
    </row>
    <row r="13" spans="1:9" x14ac:dyDescent="0.25">
      <c r="A13" s="4" t="s">
        <v>557</v>
      </c>
      <c r="B13" s="4">
        <v>309</v>
      </c>
      <c r="C13" s="4">
        <v>16.629349808712572</v>
      </c>
      <c r="D13" s="4">
        <v>5.3816666047613503E-2</v>
      </c>
      <c r="E13" s="4"/>
      <c r="F13" s="4"/>
    </row>
    <row r="14" spans="1:9" ht="15.75" thickBot="1" x14ac:dyDescent="0.3">
      <c r="A14" s="5" t="s">
        <v>558</v>
      </c>
      <c r="B14" s="5">
        <v>310</v>
      </c>
      <c r="C14" s="5">
        <v>16.649581993569093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565</v>
      </c>
      <c r="C16" s="6" t="s">
        <v>553</v>
      </c>
      <c r="D16" s="6" t="s">
        <v>566</v>
      </c>
      <c r="E16" s="6" t="s">
        <v>567</v>
      </c>
      <c r="F16" s="6" t="s">
        <v>568</v>
      </c>
      <c r="G16" s="6" t="s">
        <v>569</v>
      </c>
      <c r="H16" s="6" t="s">
        <v>570</v>
      </c>
      <c r="I16" s="6" t="s">
        <v>571</v>
      </c>
    </row>
    <row r="17" spans="1:9" x14ac:dyDescent="0.25">
      <c r="A17" s="4" t="s">
        <v>559</v>
      </c>
      <c r="B17" s="4">
        <v>4.6159463157699934</v>
      </c>
      <c r="C17" s="4">
        <v>2.1155141316887258E-2</v>
      </c>
      <c r="D17" s="4">
        <v>218.19501210730641</v>
      </c>
      <c r="E17" s="4">
        <v>0</v>
      </c>
      <c r="F17" s="4">
        <v>4.5743199601251625</v>
      </c>
      <c r="G17" s="4">
        <v>4.6575726714148242</v>
      </c>
      <c r="H17" s="4">
        <v>4.5743199601251625</v>
      </c>
      <c r="I17" s="4">
        <v>4.6575726714148242</v>
      </c>
    </row>
    <row r="18" spans="1:9" ht="15.75" thickBot="1" x14ac:dyDescent="0.3">
      <c r="A18" s="5">
        <v>8</v>
      </c>
      <c r="B18" s="5">
        <v>-7.787291605789035E-4</v>
      </c>
      <c r="C18" s="5">
        <v>1.2700576664627114E-3</v>
      </c>
      <c r="D18" s="5">
        <v>-0.61314472652865704</v>
      </c>
      <c r="E18" s="5">
        <v>0.54023168000284716</v>
      </c>
      <c r="F18" s="5">
        <v>-3.2777846536007809E-3</v>
      </c>
      <c r="G18" s="5">
        <v>1.7203263324429736E-3</v>
      </c>
      <c r="H18" s="5">
        <v>-3.2777846536007809E-3</v>
      </c>
      <c r="I18" s="5">
        <v>1.7203263324429736E-3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5FB4E-8E20-4696-A78F-F18A7034936A}">
  <dimension ref="A1:E313"/>
  <sheetViews>
    <sheetView topLeftCell="A274" workbookViewId="0">
      <selection activeCell="D21" sqref="D21"/>
    </sheetView>
  </sheetViews>
  <sheetFormatPr baseColWidth="10"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>
        <v>4.7</v>
      </c>
      <c r="B2">
        <v>8</v>
      </c>
    </row>
    <row r="3" spans="1:2" x14ac:dyDescent="0.25">
      <c r="A3">
        <v>4.5999999999999996</v>
      </c>
      <c r="B3">
        <v>22</v>
      </c>
    </row>
    <row r="4" spans="1:2" x14ac:dyDescent="0.25">
      <c r="A4">
        <v>4.7</v>
      </c>
      <c r="B4">
        <v>15</v>
      </c>
    </row>
    <row r="5" spans="1:2" x14ac:dyDescent="0.25">
      <c r="A5">
        <v>4.7</v>
      </c>
      <c r="B5">
        <v>6</v>
      </c>
    </row>
    <row r="6" spans="1:2" x14ac:dyDescent="0.25">
      <c r="A6">
        <v>4.8</v>
      </c>
      <c r="B6">
        <v>12</v>
      </c>
    </row>
    <row r="7" spans="1:2" x14ac:dyDescent="0.25">
      <c r="A7">
        <v>4.4000000000000004</v>
      </c>
      <c r="B7">
        <v>11</v>
      </c>
    </row>
    <row r="8" spans="1:2" x14ac:dyDescent="0.25">
      <c r="A8">
        <v>4.7</v>
      </c>
      <c r="B8">
        <v>30</v>
      </c>
    </row>
    <row r="9" spans="1:2" x14ac:dyDescent="0.25">
      <c r="A9">
        <v>4.7</v>
      </c>
      <c r="B9">
        <v>15</v>
      </c>
    </row>
    <row r="10" spans="1:2" x14ac:dyDescent="0.25">
      <c r="A10">
        <v>4.7</v>
      </c>
      <c r="B10">
        <v>3</v>
      </c>
    </row>
    <row r="11" spans="1:2" x14ac:dyDescent="0.25">
      <c r="A11">
        <v>4.5999999999999996</v>
      </c>
      <c r="B11">
        <v>8</v>
      </c>
    </row>
    <row r="12" spans="1:2" x14ac:dyDescent="0.25">
      <c r="A12">
        <v>4.5999999999999996</v>
      </c>
      <c r="B12">
        <v>2</v>
      </c>
    </row>
    <row r="13" spans="1:2" x14ac:dyDescent="0.25">
      <c r="A13">
        <v>4.5999999999999996</v>
      </c>
      <c r="B13">
        <v>32</v>
      </c>
    </row>
    <row r="14" spans="1:2" x14ac:dyDescent="0.25">
      <c r="A14">
        <v>4.5</v>
      </c>
      <c r="B14">
        <v>5</v>
      </c>
    </row>
    <row r="15" spans="1:2" x14ac:dyDescent="0.25">
      <c r="A15">
        <v>4.5999999999999996</v>
      </c>
      <c r="B15">
        <v>17</v>
      </c>
    </row>
    <row r="16" spans="1:2" x14ac:dyDescent="0.25">
      <c r="A16">
        <v>4.5</v>
      </c>
      <c r="B16">
        <v>4</v>
      </c>
    </row>
    <row r="17" spans="1:5" x14ac:dyDescent="0.25">
      <c r="A17">
        <v>4.5999999999999996</v>
      </c>
      <c r="B17">
        <v>6</v>
      </c>
    </row>
    <row r="18" spans="1:5" x14ac:dyDescent="0.25">
      <c r="A18">
        <v>4.4000000000000004</v>
      </c>
      <c r="B18">
        <v>6</v>
      </c>
    </row>
    <row r="19" spans="1:5" x14ac:dyDescent="0.25">
      <c r="A19">
        <v>4.5</v>
      </c>
      <c r="B19">
        <v>8</v>
      </c>
    </row>
    <row r="20" spans="1:5" x14ac:dyDescent="0.25">
      <c r="A20">
        <v>4.8</v>
      </c>
      <c r="B20">
        <v>13</v>
      </c>
      <c r="D20">
        <f>+CORREL(B2:B313,A2:A313)</f>
        <v>-3.5472154209271314E-2</v>
      </c>
      <c r="E20" s="3" t="s">
        <v>547</v>
      </c>
    </row>
    <row r="21" spans="1:5" x14ac:dyDescent="0.25">
      <c r="A21">
        <v>4.5999999999999996</v>
      </c>
      <c r="B21">
        <v>14</v>
      </c>
    </row>
    <row r="22" spans="1:5" x14ac:dyDescent="0.25">
      <c r="A22">
        <v>3.9</v>
      </c>
      <c r="B22">
        <v>13</v>
      </c>
    </row>
    <row r="23" spans="1:5" x14ac:dyDescent="0.25">
      <c r="A23">
        <v>4.5999999999999996</v>
      </c>
      <c r="B23">
        <v>9</v>
      </c>
    </row>
    <row r="24" spans="1:5" x14ac:dyDescent="0.25">
      <c r="A24">
        <v>4.3</v>
      </c>
      <c r="B24">
        <v>13</v>
      </c>
    </row>
    <row r="25" spans="1:5" x14ac:dyDescent="0.25">
      <c r="A25">
        <v>4.5999999999999996</v>
      </c>
      <c r="B25">
        <v>5</v>
      </c>
    </row>
    <row r="26" spans="1:5" x14ac:dyDescent="0.25">
      <c r="A26">
        <v>4.7</v>
      </c>
      <c r="B26">
        <v>9</v>
      </c>
    </row>
    <row r="27" spans="1:5" x14ac:dyDescent="0.25">
      <c r="A27">
        <v>4.2</v>
      </c>
      <c r="B27">
        <v>14</v>
      </c>
    </row>
    <row r="28" spans="1:5" x14ac:dyDescent="0.25">
      <c r="A28">
        <v>4.5999999999999996</v>
      </c>
      <c r="B28">
        <v>5</v>
      </c>
    </row>
    <row r="29" spans="1:5" x14ac:dyDescent="0.25">
      <c r="A29">
        <v>4.5999999999999996</v>
      </c>
      <c r="B29">
        <v>11</v>
      </c>
    </row>
    <row r="30" spans="1:5" x14ac:dyDescent="0.25">
      <c r="A30">
        <v>4.8</v>
      </c>
      <c r="B30">
        <v>24</v>
      </c>
    </row>
    <row r="31" spans="1:5" x14ac:dyDescent="0.25">
      <c r="A31">
        <v>4.7</v>
      </c>
      <c r="B31">
        <v>21</v>
      </c>
    </row>
    <row r="32" spans="1:5" x14ac:dyDescent="0.25">
      <c r="A32">
        <v>4.8</v>
      </c>
      <c r="B32">
        <v>11</v>
      </c>
    </row>
    <row r="33" spans="1:2" x14ac:dyDescent="0.25">
      <c r="A33">
        <v>4.8</v>
      </c>
      <c r="B33">
        <v>15</v>
      </c>
    </row>
    <row r="34" spans="1:2" x14ac:dyDescent="0.25">
      <c r="A34">
        <v>4.7</v>
      </c>
      <c r="B34">
        <v>13</v>
      </c>
    </row>
    <row r="35" spans="1:2" x14ac:dyDescent="0.25">
      <c r="A35">
        <v>4.7</v>
      </c>
      <c r="B35">
        <v>18</v>
      </c>
    </row>
    <row r="36" spans="1:2" x14ac:dyDescent="0.25">
      <c r="A36">
        <v>4.5999999999999996</v>
      </c>
      <c r="B36">
        <v>13</v>
      </c>
    </row>
    <row r="37" spans="1:2" x14ac:dyDescent="0.25">
      <c r="A37">
        <v>4.5</v>
      </c>
      <c r="B37">
        <v>8</v>
      </c>
    </row>
    <row r="38" spans="1:2" x14ac:dyDescent="0.25">
      <c r="A38">
        <v>4.9000000000000004</v>
      </c>
      <c r="B38">
        <v>5</v>
      </c>
    </row>
    <row r="39" spans="1:2" x14ac:dyDescent="0.25">
      <c r="A39">
        <v>4.8</v>
      </c>
      <c r="B39">
        <v>0</v>
      </c>
    </row>
    <row r="40" spans="1:2" x14ac:dyDescent="0.25">
      <c r="A40">
        <v>4.5999999999999996</v>
      </c>
      <c r="B40">
        <v>4</v>
      </c>
    </row>
    <row r="41" spans="1:2" x14ac:dyDescent="0.25">
      <c r="A41">
        <v>4.8</v>
      </c>
      <c r="B41">
        <v>18</v>
      </c>
    </row>
    <row r="42" spans="1:2" x14ac:dyDescent="0.25">
      <c r="A42">
        <v>4.5</v>
      </c>
      <c r="B42">
        <v>28</v>
      </c>
    </row>
    <row r="43" spans="1:2" x14ac:dyDescent="0.25">
      <c r="A43">
        <v>4.7</v>
      </c>
      <c r="B43">
        <v>11</v>
      </c>
    </row>
    <row r="44" spans="1:2" x14ac:dyDescent="0.25">
      <c r="A44">
        <v>4.7</v>
      </c>
      <c r="B44">
        <v>16</v>
      </c>
    </row>
    <row r="45" spans="1:2" x14ac:dyDescent="0.25">
      <c r="A45">
        <v>4.7</v>
      </c>
      <c r="B45">
        <v>14</v>
      </c>
    </row>
    <row r="46" spans="1:2" x14ac:dyDescent="0.25">
      <c r="A46">
        <v>4.3</v>
      </c>
      <c r="B46">
        <v>8</v>
      </c>
    </row>
    <row r="47" spans="1:2" x14ac:dyDescent="0.25">
      <c r="A47">
        <v>4.8</v>
      </c>
      <c r="B47">
        <v>4</v>
      </c>
    </row>
    <row r="48" spans="1:2" x14ac:dyDescent="0.25">
      <c r="A48">
        <v>4.8</v>
      </c>
      <c r="B48">
        <v>5</v>
      </c>
    </row>
    <row r="49" spans="1:2" x14ac:dyDescent="0.25">
      <c r="A49">
        <v>4.5999999999999996</v>
      </c>
      <c r="B49">
        <v>11</v>
      </c>
    </row>
    <row r="50" spans="1:2" x14ac:dyDescent="0.25">
      <c r="A50">
        <v>4.8</v>
      </c>
      <c r="B50">
        <v>10</v>
      </c>
    </row>
    <row r="51" spans="1:2" x14ac:dyDescent="0.25">
      <c r="A51">
        <v>4.4000000000000004</v>
      </c>
      <c r="B51">
        <v>13</v>
      </c>
    </row>
    <row r="52" spans="1:2" x14ac:dyDescent="0.25">
      <c r="A52">
        <v>4.5999999999999996</v>
      </c>
      <c r="B52">
        <v>4</v>
      </c>
    </row>
    <row r="53" spans="1:2" x14ac:dyDescent="0.25">
      <c r="A53">
        <v>4.3</v>
      </c>
      <c r="B53">
        <v>8</v>
      </c>
    </row>
    <row r="54" spans="1:2" x14ac:dyDescent="0.25">
      <c r="A54">
        <v>4.2</v>
      </c>
      <c r="B54">
        <v>4</v>
      </c>
    </row>
    <row r="55" spans="1:2" x14ac:dyDescent="0.25">
      <c r="A55">
        <v>4.8</v>
      </c>
      <c r="B55">
        <v>5</v>
      </c>
    </row>
    <row r="56" spans="1:2" x14ac:dyDescent="0.25">
      <c r="A56">
        <v>4.5999999999999996</v>
      </c>
      <c r="B56">
        <v>17</v>
      </c>
    </row>
    <row r="57" spans="1:2" x14ac:dyDescent="0.25">
      <c r="A57">
        <v>4.5999999999999996</v>
      </c>
      <c r="B57">
        <v>15</v>
      </c>
    </row>
    <row r="58" spans="1:2" x14ac:dyDescent="0.25">
      <c r="A58">
        <v>4.5</v>
      </c>
      <c r="B58">
        <v>105</v>
      </c>
    </row>
    <row r="59" spans="1:2" x14ac:dyDescent="0.25">
      <c r="A59">
        <v>4.8</v>
      </c>
      <c r="B59">
        <v>0</v>
      </c>
    </row>
    <row r="60" spans="1:2" x14ac:dyDescent="0.25">
      <c r="A60">
        <v>4.8</v>
      </c>
      <c r="B60">
        <v>15</v>
      </c>
    </row>
    <row r="61" spans="1:2" x14ac:dyDescent="0.25">
      <c r="A61">
        <v>4.8</v>
      </c>
      <c r="B61">
        <v>22</v>
      </c>
    </row>
    <row r="62" spans="1:2" x14ac:dyDescent="0.25">
      <c r="A62">
        <v>4.5999999999999996</v>
      </c>
      <c r="B62">
        <v>5</v>
      </c>
    </row>
    <row r="63" spans="1:2" x14ac:dyDescent="0.25">
      <c r="A63">
        <v>4.5999999999999996</v>
      </c>
      <c r="B63">
        <v>15</v>
      </c>
    </row>
    <row r="64" spans="1:2" x14ac:dyDescent="0.25">
      <c r="A64">
        <v>4.5</v>
      </c>
      <c r="B64">
        <v>6</v>
      </c>
    </row>
    <row r="65" spans="1:2" x14ac:dyDescent="0.25">
      <c r="A65">
        <v>4.5999999999999996</v>
      </c>
      <c r="B65">
        <v>6</v>
      </c>
    </row>
    <row r="66" spans="1:2" x14ac:dyDescent="0.25">
      <c r="A66">
        <v>4.7</v>
      </c>
      <c r="B66">
        <v>13</v>
      </c>
    </row>
    <row r="67" spans="1:2" x14ac:dyDescent="0.25">
      <c r="A67">
        <v>4.8</v>
      </c>
      <c r="B67">
        <v>12</v>
      </c>
    </row>
    <row r="68" spans="1:2" x14ac:dyDescent="0.25">
      <c r="A68">
        <v>4.9000000000000004</v>
      </c>
      <c r="B68">
        <v>6</v>
      </c>
    </row>
    <row r="69" spans="1:2" x14ac:dyDescent="0.25">
      <c r="A69">
        <v>4.9000000000000004</v>
      </c>
      <c r="B69">
        <v>8</v>
      </c>
    </row>
    <row r="70" spans="1:2" x14ac:dyDescent="0.25">
      <c r="A70">
        <v>4.9000000000000004</v>
      </c>
      <c r="B70">
        <v>4</v>
      </c>
    </row>
    <row r="71" spans="1:2" x14ac:dyDescent="0.25">
      <c r="A71">
        <v>4.9000000000000004</v>
      </c>
      <c r="B71">
        <v>8</v>
      </c>
    </row>
    <row r="72" spans="1:2" x14ac:dyDescent="0.25">
      <c r="A72">
        <v>4.9000000000000004</v>
      </c>
      <c r="B72">
        <v>8</v>
      </c>
    </row>
    <row r="73" spans="1:2" x14ac:dyDescent="0.25">
      <c r="A73">
        <v>4.9000000000000004</v>
      </c>
      <c r="B73">
        <v>6</v>
      </c>
    </row>
    <row r="74" spans="1:2" x14ac:dyDescent="0.25">
      <c r="A74">
        <v>4.8</v>
      </c>
      <c r="B74">
        <v>20</v>
      </c>
    </row>
    <row r="75" spans="1:2" x14ac:dyDescent="0.25">
      <c r="A75">
        <v>4.5999999999999996</v>
      </c>
      <c r="B75">
        <v>5</v>
      </c>
    </row>
    <row r="76" spans="1:2" x14ac:dyDescent="0.25">
      <c r="A76">
        <v>4.5</v>
      </c>
      <c r="B76">
        <v>16</v>
      </c>
    </row>
    <row r="77" spans="1:2" x14ac:dyDescent="0.25">
      <c r="A77">
        <v>4.5</v>
      </c>
      <c r="B77">
        <v>1</v>
      </c>
    </row>
    <row r="78" spans="1:2" x14ac:dyDescent="0.25">
      <c r="A78">
        <v>4.3</v>
      </c>
      <c r="B78">
        <v>14</v>
      </c>
    </row>
    <row r="79" spans="1:2" x14ac:dyDescent="0.25">
      <c r="A79">
        <v>4.5</v>
      </c>
      <c r="B79">
        <v>9</v>
      </c>
    </row>
    <row r="80" spans="1:2" x14ac:dyDescent="0.25">
      <c r="A80">
        <v>4.7</v>
      </c>
      <c r="B80">
        <v>7</v>
      </c>
    </row>
    <row r="81" spans="1:2" x14ac:dyDescent="0.25">
      <c r="A81">
        <v>4.7</v>
      </c>
      <c r="B81">
        <v>18</v>
      </c>
    </row>
    <row r="82" spans="1:2" x14ac:dyDescent="0.25">
      <c r="A82">
        <v>4.7</v>
      </c>
      <c r="B82">
        <v>15</v>
      </c>
    </row>
    <row r="83" spans="1:2" x14ac:dyDescent="0.25">
      <c r="A83">
        <v>4.7</v>
      </c>
      <c r="B83">
        <v>9</v>
      </c>
    </row>
    <row r="84" spans="1:2" x14ac:dyDescent="0.25">
      <c r="A84">
        <v>4.5999999999999996</v>
      </c>
      <c r="B84">
        <v>8</v>
      </c>
    </row>
    <row r="85" spans="1:2" x14ac:dyDescent="0.25">
      <c r="A85">
        <v>4.7</v>
      </c>
      <c r="B85">
        <v>15</v>
      </c>
    </row>
    <row r="86" spans="1:2" x14ac:dyDescent="0.25">
      <c r="A86">
        <v>4.4000000000000004</v>
      </c>
      <c r="B86">
        <v>2</v>
      </c>
    </row>
    <row r="87" spans="1:2" x14ac:dyDescent="0.25">
      <c r="A87">
        <v>4.4000000000000004</v>
      </c>
      <c r="B87">
        <v>7</v>
      </c>
    </row>
    <row r="88" spans="1:2" x14ac:dyDescent="0.25">
      <c r="A88">
        <v>4.5</v>
      </c>
      <c r="B88">
        <v>11</v>
      </c>
    </row>
    <row r="89" spans="1:2" x14ac:dyDescent="0.25">
      <c r="A89">
        <v>3.8</v>
      </c>
      <c r="B89">
        <v>14</v>
      </c>
    </row>
    <row r="90" spans="1:2" x14ac:dyDescent="0.25">
      <c r="A90">
        <v>4.5</v>
      </c>
      <c r="B90">
        <v>32</v>
      </c>
    </row>
    <row r="91" spans="1:2" x14ac:dyDescent="0.25">
      <c r="A91">
        <v>4.2</v>
      </c>
      <c r="B91">
        <v>6</v>
      </c>
    </row>
    <row r="92" spans="1:2" x14ac:dyDescent="0.25">
      <c r="A92">
        <v>4.7</v>
      </c>
      <c r="B92">
        <v>4</v>
      </c>
    </row>
    <row r="93" spans="1:2" x14ac:dyDescent="0.25">
      <c r="A93">
        <v>4.4000000000000004</v>
      </c>
      <c r="B93">
        <v>9</v>
      </c>
    </row>
    <row r="94" spans="1:2" x14ac:dyDescent="0.25">
      <c r="A94">
        <v>4.7</v>
      </c>
      <c r="B94">
        <v>0</v>
      </c>
    </row>
    <row r="95" spans="1:2" x14ac:dyDescent="0.25">
      <c r="A95">
        <v>4.4000000000000004</v>
      </c>
      <c r="B95">
        <v>9</v>
      </c>
    </row>
    <row r="96" spans="1:2" x14ac:dyDescent="0.25">
      <c r="A96">
        <v>4.5999999999999996</v>
      </c>
      <c r="B96">
        <v>5</v>
      </c>
    </row>
    <row r="97" spans="1:2" x14ac:dyDescent="0.25">
      <c r="A97">
        <v>4.5</v>
      </c>
      <c r="B97">
        <v>20</v>
      </c>
    </row>
    <row r="98" spans="1:2" x14ac:dyDescent="0.25">
      <c r="A98">
        <v>4.5999999999999996</v>
      </c>
      <c r="B98">
        <v>16</v>
      </c>
    </row>
    <row r="99" spans="1:2" x14ac:dyDescent="0.25">
      <c r="A99">
        <v>4.8</v>
      </c>
      <c r="B99">
        <v>4</v>
      </c>
    </row>
    <row r="100" spans="1:2" x14ac:dyDescent="0.25">
      <c r="A100">
        <v>4.5999999999999996</v>
      </c>
      <c r="B100">
        <v>12</v>
      </c>
    </row>
    <row r="101" spans="1:2" x14ac:dyDescent="0.25">
      <c r="A101">
        <v>4.5999999999999996</v>
      </c>
      <c r="B101">
        <v>12</v>
      </c>
    </row>
    <row r="102" spans="1:2" x14ac:dyDescent="0.25">
      <c r="A102">
        <v>4.5999999999999996</v>
      </c>
      <c r="B102">
        <v>11</v>
      </c>
    </row>
    <row r="103" spans="1:2" x14ac:dyDescent="0.25">
      <c r="A103">
        <v>3.6</v>
      </c>
      <c r="B103">
        <v>19</v>
      </c>
    </row>
    <row r="104" spans="1:2" x14ac:dyDescent="0.25">
      <c r="A104">
        <v>4.8</v>
      </c>
      <c r="B104">
        <v>9</v>
      </c>
    </row>
    <row r="105" spans="1:2" x14ac:dyDescent="0.25">
      <c r="A105">
        <v>4.5999999999999996</v>
      </c>
      <c r="B105">
        <v>6</v>
      </c>
    </row>
    <row r="106" spans="1:2" x14ac:dyDescent="0.25">
      <c r="A106">
        <v>4</v>
      </c>
      <c r="B106">
        <v>10</v>
      </c>
    </row>
    <row r="107" spans="1:2" x14ac:dyDescent="0.25">
      <c r="A107">
        <v>4.5999999999999996</v>
      </c>
      <c r="B107">
        <v>6</v>
      </c>
    </row>
    <row r="108" spans="1:2" x14ac:dyDescent="0.25">
      <c r="A108">
        <v>4.5</v>
      </c>
      <c r="B108">
        <v>14</v>
      </c>
    </row>
    <row r="109" spans="1:2" x14ac:dyDescent="0.25">
      <c r="A109">
        <v>4.8</v>
      </c>
      <c r="B109">
        <v>5</v>
      </c>
    </row>
    <row r="110" spans="1:2" x14ac:dyDescent="0.25">
      <c r="A110">
        <v>4.9000000000000004</v>
      </c>
      <c r="B110">
        <v>7</v>
      </c>
    </row>
    <row r="111" spans="1:2" x14ac:dyDescent="0.25">
      <c r="A111">
        <v>4.5999999999999996</v>
      </c>
      <c r="B111">
        <v>10</v>
      </c>
    </row>
    <row r="112" spans="1:2" x14ac:dyDescent="0.25">
      <c r="A112">
        <v>4.4000000000000004</v>
      </c>
      <c r="B112">
        <v>14</v>
      </c>
    </row>
    <row r="113" spans="1:2" x14ac:dyDescent="0.25">
      <c r="A113">
        <v>4.8</v>
      </c>
      <c r="B113">
        <v>7</v>
      </c>
    </row>
    <row r="114" spans="1:2" x14ac:dyDescent="0.25">
      <c r="A114">
        <v>4.9000000000000004</v>
      </c>
      <c r="B114">
        <v>54</v>
      </c>
    </row>
    <row r="115" spans="1:2" x14ac:dyDescent="0.25">
      <c r="A115">
        <v>4.8</v>
      </c>
      <c r="B115">
        <v>11</v>
      </c>
    </row>
    <row r="116" spans="1:2" x14ac:dyDescent="0.25">
      <c r="A116">
        <v>4.9000000000000004</v>
      </c>
      <c r="B116">
        <v>30</v>
      </c>
    </row>
    <row r="117" spans="1:2" x14ac:dyDescent="0.25">
      <c r="A117">
        <v>4</v>
      </c>
      <c r="B117">
        <v>12</v>
      </c>
    </row>
    <row r="118" spans="1:2" x14ac:dyDescent="0.25">
      <c r="A118">
        <v>4.9000000000000004</v>
      </c>
      <c r="B118">
        <v>18</v>
      </c>
    </row>
    <row r="119" spans="1:2" x14ac:dyDescent="0.25">
      <c r="A119">
        <v>4.9000000000000004</v>
      </c>
      <c r="B119">
        <v>30</v>
      </c>
    </row>
    <row r="120" spans="1:2" x14ac:dyDescent="0.25">
      <c r="A120">
        <v>4.9000000000000004</v>
      </c>
      <c r="B120">
        <v>22</v>
      </c>
    </row>
    <row r="121" spans="1:2" x14ac:dyDescent="0.25">
      <c r="A121">
        <v>4.7</v>
      </c>
      <c r="B121">
        <v>9</v>
      </c>
    </row>
    <row r="122" spans="1:2" x14ac:dyDescent="0.25">
      <c r="A122">
        <v>4.8</v>
      </c>
      <c r="B122">
        <v>52</v>
      </c>
    </row>
    <row r="123" spans="1:2" x14ac:dyDescent="0.25">
      <c r="A123">
        <v>4.8</v>
      </c>
      <c r="B123">
        <v>4</v>
      </c>
    </row>
    <row r="124" spans="1:2" x14ac:dyDescent="0.25">
      <c r="A124">
        <v>4.7</v>
      </c>
      <c r="B124">
        <v>10</v>
      </c>
    </row>
    <row r="125" spans="1:2" x14ac:dyDescent="0.25">
      <c r="A125">
        <v>4.4000000000000004</v>
      </c>
      <c r="B125">
        <v>14</v>
      </c>
    </row>
    <row r="126" spans="1:2" x14ac:dyDescent="0.25">
      <c r="A126">
        <v>4.8</v>
      </c>
      <c r="B126">
        <v>22</v>
      </c>
    </row>
    <row r="127" spans="1:2" x14ac:dyDescent="0.25">
      <c r="A127">
        <v>4.7</v>
      </c>
      <c r="B127">
        <v>11</v>
      </c>
    </row>
    <row r="128" spans="1:2" x14ac:dyDescent="0.25">
      <c r="A128">
        <v>4.3</v>
      </c>
      <c r="B128">
        <v>16</v>
      </c>
    </row>
    <row r="129" spans="1:2" x14ac:dyDescent="0.25">
      <c r="A129">
        <v>4.8</v>
      </c>
      <c r="B129">
        <v>15</v>
      </c>
    </row>
    <row r="130" spans="1:2" x14ac:dyDescent="0.25">
      <c r="A130">
        <v>4.9000000000000004</v>
      </c>
      <c r="B130">
        <v>17</v>
      </c>
    </row>
    <row r="131" spans="1:2" x14ac:dyDescent="0.25">
      <c r="A131">
        <v>4.7</v>
      </c>
      <c r="B131">
        <v>17</v>
      </c>
    </row>
    <row r="132" spans="1:2" x14ac:dyDescent="0.25">
      <c r="A132">
        <v>4.8</v>
      </c>
      <c r="B132">
        <v>7</v>
      </c>
    </row>
    <row r="133" spans="1:2" x14ac:dyDescent="0.25">
      <c r="A133">
        <v>4.5999999999999996</v>
      </c>
      <c r="B133">
        <v>7</v>
      </c>
    </row>
    <row r="134" spans="1:2" x14ac:dyDescent="0.25">
      <c r="A134">
        <v>4.8</v>
      </c>
      <c r="B134">
        <v>4</v>
      </c>
    </row>
    <row r="135" spans="1:2" x14ac:dyDescent="0.25">
      <c r="A135">
        <v>4.3</v>
      </c>
      <c r="B135">
        <v>9</v>
      </c>
    </row>
    <row r="136" spans="1:2" x14ac:dyDescent="0.25">
      <c r="A136">
        <v>4.4000000000000004</v>
      </c>
      <c r="B136">
        <v>21</v>
      </c>
    </row>
    <row r="137" spans="1:2" x14ac:dyDescent="0.25">
      <c r="A137">
        <v>4.0999999999999996</v>
      </c>
      <c r="B137">
        <v>14</v>
      </c>
    </row>
    <row r="138" spans="1:2" x14ac:dyDescent="0.25">
      <c r="A138">
        <v>4.5999999999999996</v>
      </c>
      <c r="B138">
        <v>20</v>
      </c>
    </row>
    <row r="139" spans="1:2" x14ac:dyDescent="0.25">
      <c r="A139">
        <v>4.4000000000000004</v>
      </c>
      <c r="B139">
        <v>13</v>
      </c>
    </row>
    <row r="140" spans="1:2" x14ac:dyDescent="0.25">
      <c r="A140">
        <v>4.8</v>
      </c>
      <c r="B140">
        <v>12</v>
      </c>
    </row>
    <row r="141" spans="1:2" x14ac:dyDescent="0.25">
      <c r="A141">
        <v>4.9000000000000004</v>
      </c>
      <c r="B141">
        <v>8</v>
      </c>
    </row>
    <row r="142" spans="1:2" x14ac:dyDescent="0.25">
      <c r="A142">
        <v>4.5999999999999996</v>
      </c>
      <c r="B142">
        <v>0</v>
      </c>
    </row>
    <row r="143" spans="1:2" x14ac:dyDescent="0.25">
      <c r="A143">
        <v>4.5</v>
      </c>
      <c r="B143">
        <v>12</v>
      </c>
    </row>
    <row r="144" spans="1:2" x14ac:dyDescent="0.25">
      <c r="A144">
        <v>4.5999999999999996</v>
      </c>
      <c r="B144">
        <v>17</v>
      </c>
    </row>
    <row r="145" spans="1:2" x14ac:dyDescent="0.25">
      <c r="A145">
        <v>4.5</v>
      </c>
      <c r="B145">
        <v>12</v>
      </c>
    </row>
    <row r="146" spans="1:2" x14ac:dyDescent="0.25">
      <c r="A146">
        <v>4.5999999999999996</v>
      </c>
      <c r="B146">
        <v>25</v>
      </c>
    </row>
    <row r="147" spans="1:2" x14ac:dyDescent="0.25">
      <c r="A147">
        <v>4.7</v>
      </c>
      <c r="B147">
        <v>10</v>
      </c>
    </row>
    <row r="148" spans="1:2" x14ac:dyDescent="0.25">
      <c r="A148">
        <v>4.5999999999999996</v>
      </c>
      <c r="B148">
        <v>6</v>
      </c>
    </row>
    <row r="149" spans="1:2" x14ac:dyDescent="0.25">
      <c r="A149">
        <v>4.5999999999999996</v>
      </c>
      <c r="B149">
        <v>5</v>
      </c>
    </row>
    <row r="150" spans="1:2" x14ac:dyDescent="0.25">
      <c r="A150">
        <v>4.8</v>
      </c>
      <c r="B150">
        <v>6</v>
      </c>
    </row>
    <row r="151" spans="1:2" x14ac:dyDescent="0.25">
      <c r="A151">
        <v>4.8</v>
      </c>
      <c r="B151">
        <v>8</v>
      </c>
    </row>
    <row r="152" spans="1:2" x14ac:dyDescent="0.25">
      <c r="A152">
        <v>4.5</v>
      </c>
      <c r="B152">
        <v>4</v>
      </c>
    </row>
    <row r="153" spans="1:2" x14ac:dyDescent="0.25">
      <c r="A153">
        <v>4.9000000000000004</v>
      </c>
      <c r="B153">
        <v>13</v>
      </c>
    </row>
    <row r="154" spans="1:2" x14ac:dyDescent="0.25">
      <c r="A154">
        <v>4.5999999999999996</v>
      </c>
      <c r="B154">
        <v>4</v>
      </c>
    </row>
    <row r="155" spans="1:2" x14ac:dyDescent="0.25">
      <c r="A155">
        <v>4.5</v>
      </c>
      <c r="B155">
        <v>13</v>
      </c>
    </row>
    <row r="156" spans="1:2" x14ac:dyDescent="0.25">
      <c r="A156">
        <v>4.5</v>
      </c>
      <c r="B156">
        <v>21</v>
      </c>
    </row>
    <row r="157" spans="1:2" x14ac:dyDescent="0.25">
      <c r="A157">
        <v>4.4000000000000004</v>
      </c>
      <c r="B157">
        <v>6</v>
      </c>
    </row>
    <row r="158" spans="1:2" x14ac:dyDescent="0.25">
      <c r="A158">
        <v>4.8</v>
      </c>
      <c r="B158">
        <v>15</v>
      </c>
    </row>
    <row r="159" spans="1:2" x14ac:dyDescent="0.25">
      <c r="A159">
        <v>4.5</v>
      </c>
      <c r="B159">
        <v>18</v>
      </c>
    </row>
    <row r="160" spans="1:2" x14ac:dyDescent="0.25">
      <c r="A160">
        <v>4.0999999999999996</v>
      </c>
      <c r="B160">
        <v>10</v>
      </c>
    </row>
    <row r="161" spans="1:2" x14ac:dyDescent="0.25">
      <c r="A161">
        <v>4.9000000000000004</v>
      </c>
      <c r="B161">
        <v>0</v>
      </c>
    </row>
    <row r="162" spans="1:2" x14ac:dyDescent="0.25">
      <c r="A162">
        <v>4.5</v>
      </c>
      <c r="B162">
        <v>12</v>
      </c>
    </row>
    <row r="163" spans="1:2" x14ac:dyDescent="0.25">
      <c r="A163">
        <v>4.5</v>
      </c>
      <c r="B163">
        <v>7</v>
      </c>
    </row>
    <row r="164" spans="1:2" x14ac:dyDescent="0.25">
      <c r="A164">
        <v>4.2</v>
      </c>
      <c r="B164">
        <v>13</v>
      </c>
    </row>
    <row r="165" spans="1:2" x14ac:dyDescent="0.25">
      <c r="A165">
        <v>4.8</v>
      </c>
      <c r="B165">
        <v>5</v>
      </c>
    </row>
    <row r="166" spans="1:2" x14ac:dyDescent="0.25">
      <c r="A166">
        <v>4.8</v>
      </c>
      <c r="B166">
        <v>16</v>
      </c>
    </row>
    <row r="167" spans="1:2" x14ac:dyDescent="0.25">
      <c r="A167">
        <v>4.5</v>
      </c>
      <c r="B167">
        <v>20</v>
      </c>
    </row>
    <row r="168" spans="1:2" x14ac:dyDescent="0.25">
      <c r="A168">
        <v>4.7</v>
      </c>
      <c r="B168">
        <v>11</v>
      </c>
    </row>
    <row r="169" spans="1:2" x14ac:dyDescent="0.25">
      <c r="A169">
        <v>4.8</v>
      </c>
      <c r="B169">
        <v>27</v>
      </c>
    </row>
    <row r="170" spans="1:2" x14ac:dyDescent="0.25">
      <c r="A170">
        <v>4.7</v>
      </c>
      <c r="B170">
        <v>8</v>
      </c>
    </row>
    <row r="171" spans="1:2" x14ac:dyDescent="0.25">
      <c r="A171">
        <v>4.4000000000000004</v>
      </c>
      <c r="B171">
        <v>6</v>
      </c>
    </row>
    <row r="172" spans="1:2" x14ac:dyDescent="0.25">
      <c r="A172">
        <v>4.5999999999999996</v>
      </c>
      <c r="B172">
        <v>10</v>
      </c>
    </row>
    <row r="173" spans="1:2" x14ac:dyDescent="0.25">
      <c r="A173">
        <v>4.5</v>
      </c>
      <c r="B173">
        <v>8</v>
      </c>
    </row>
    <row r="174" spans="1:2" x14ac:dyDescent="0.25">
      <c r="A174">
        <v>4.8</v>
      </c>
      <c r="B174">
        <v>16</v>
      </c>
    </row>
    <row r="175" spans="1:2" x14ac:dyDescent="0.25">
      <c r="A175">
        <v>4.8</v>
      </c>
      <c r="B175">
        <v>11</v>
      </c>
    </row>
    <row r="176" spans="1:2" x14ac:dyDescent="0.25">
      <c r="A176">
        <v>4.5999999999999996</v>
      </c>
      <c r="B176">
        <v>10</v>
      </c>
    </row>
    <row r="177" spans="1:2" x14ac:dyDescent="0.25">
      <c r="A177">
        <v>4.7</v>
      </c>
      <c r="B177">
        <v>9</v>
      </c>
    </row>
    <row r="178" spans="1:2" x14ac:dyDescent="0.25">
      <c r="A178">
        <v>4.5999999999999996</v>
      </c>
      <c r="B178">
        <v>14</v>
      </c>
    </row>
    <row r="179" spans="1:2" x14ac:dyDescent="0.25">
      <c r="A179">
        <v>4.9000000000000004</v>
      </c>
      <c r="B179">
        <v>22</v>
      </c>
    </row>
    <row r="180" spans="1:2" x14ac:dyDescent="0.25">
      <c r="A180">
        <v>4.9000000000000004</v>
      </c>
      <c r="B180">
        <v>8</v>
      </c>
    </row>
    <row r="181" spans="1:2" x14ac:dyDescent="0.25">
      <c r="A181">
        <v>4.8</v>
      </c>
      <c r="B181">
        <v>7</v>
      </c>
    </row>
    <row r="182" spans="1:2" x14ac:dyDescent="0.25">
      <c r="A182">
        <v>4.2</v>
      </c>
      <c r="B182">
        <v>12</v>
      </c>
    </row>
    <row r="183" spans="1:2" x14ac:dyDescent="0.25">
      <c r="A183">
        <v>4.5999999999999996</v>
      </c>
      <c r="B183">
        <v>13</v>
      </c>
    </row>
    <row r="184" spans="1:2" x14ac:dyDescent="0.25">
      <c r="A184">
        <v>4.5</v>
      </c>
      <c r="B184">
        <v>9</v>
      </c>
    </row>
    <row r="185" spans="1:2" x14ac:dyDescent="0.25">
      <c r="A185">
        <v>4.3</v>
      </c>
      <c r="B185">
        <v>13</v>
      </c>
    </row>
    <row r="186" spans="1:2" x14ac:dyDescent="0.25">
      <c r="A186">
        <v>4.5999999999999996</v>
      </c>
      <c r="B186">
        <v>11</v>
      </c>
    </row>
    <row r="187" spans="1:2" x14ac:dyDescent="0.25">
      <c r="A187">
        <v>4.5999999999999996</v>
      </c>
      <c r="B187">
        <v>20</v>
      </c>
    </row>
    <row r="188" spans="1:2" x14ac:dyDescent="0.25">
      <c r="A188">
        <v>4.7</v>
      </c>
      <c r="B188">
        <v>5</v>
      </c>
    </row>
    <row r="189" spans="1:2" x14ac:dyDescent="0.25">
      <c r="A189">
        <v>4.8</v>
      </c>
      <c r="B189">
        <v>2</v>
      </c>
    </row>
    <row r="190" spans="1:2" x14ac:dyDescent="0.25">
      <c r="A190">
        <v>4.8</v>
      </c>
      <c r="B190">
        <v>27</v>
      </c>
    </row>
    <row r="191" spans="1:2" x14ac:dyDescent="0.25">
      <c r="A191">
        <v>4.7</v>
      </c>
      <c r="B191">
        <v>9</v>
      </c>
    </row>
    <row r="192" spans="1:2" x14ac:dyDescent="0.25">
      <c r="A192">
        <v>4.3</v>
      </c>
      <c r="B192">
        <v>10</v>
      </c>
    </row>
    <row r="193" spans="1:2" x14ac:dyDescent="0.25">
      <c r="A193">
        <v>4.5</v>
      </c>
      <c r="B193">
        <v>46</v>
      </c>
    </row>
    <row r="194" spans="1:2" x14ac:dyDescent="0.25">
      <c r="A194">
        <v>4.8</v>
      </c>
      <c r="B194">
        <v>4</v>
      </c>
    </row>
    <row r="195" spans="1:2" x14ac:dyDescent="0.25">
      <c r="A195">
        <v>4.5999999999999996</v>
      </c>
      <c r="B195">
        <v>20</v>
      </c>
    </row>
    <row r="196" spans="1:2" x14ac:dyDescent="0.25">
      <c r="A196">
        <v>4.7</v>
      </c>
      <c r="B196">
        <v>9</v>
      </c>
    </row>
    <row r="197" spans="1:2" x14ac:dyDescent="0.25">
      <c r="A197">
        <v>4.5999999999999996</v>
      </c>
      <c r="B197">
        <v>12</v>
      </c>
    </row>
    <row r="198" spans="1:2" x14ac:dyDescent="0.25">
      <c r="A198">
        <v>4.9000000000000004</v>
      </c>
      <c r="B198">
        <v>12</v>
      </c>
    </row>
    <row r="199" spans="1:2" x14ac:dyDescent="0.25">
      <c r="A199">
        <v>4.9000000000000004</v>
      </c>
      <c r="B199">
        <v>12</v>
      </c>
    </row>
    <row r="200" spans="1:2" x14ac:dyDescent="0.25">
      <c r="A200">
        <v>4.8</v>
      </c>
      <c r="B200">
        <v>20</v>
      </c>
    </row>
    <row r="201" spans="1:2" x14ac:dyDescent="0.25">
      <c r="A201">
        <v>4.5999999999999996</v>
      </c>
      <c r="B201">
        <v>10</v>
      </c>
    </row>
    <row r="202" spans="1:2" x14ac:dyDescent="0.25">
      <c r="A202">
        <v>4.8</v>
      </c>
      <c r="B202">
        <v>6</v>
      </c>
    </row>
    <row r="203" spans="1:2" x14ac:dyDescent="0.25">
      <c r="A203">
        <v>4.7</v>
      </c>
      <c r="B203">
        <v>9</v>
      </c>
    </row>
    <row r="204" spans="1:2" x14ac:dyDescent="0.25">
      <c r="A204">
        <v>4.7</v>
      </c>
      <c r="B204">
        <v>11</v>
      </c>
    </row>
    <row r="205" spans="1:2" x14ac:dyDescent="0.25">
      <c r="A205">
        <v>4.8</v>
      </c>
      <c r="B205">
        <v>16</v>
      </c>
    </row>
    <row r="206" spans="1:2" x14ac:dyDescent="0.25">
      <c r="A206">
        <v>4.0999999999999996</v>
      </c>
      <c r="B206">
        <v>6</v>
      </c>
    </row>
    <row r="207" spans="1:2" x14ac:dyDescent="0.25">
      <c r="A207">
        <v>4.7</v>
      </c>
      <c r="B207">
        <v>25</v>
      </c>
    </row>
    <row r="208" spans="1:2" x14ac:dyDescent="0.25">
      <c r="A208">
        <v>4.5999999999999996</v>
      </c>
      <c r="B208">
        <v>17</v>
      </c>
    </row>
    <row r="209" spans="1:2" x14ac:dyDescent="0.25">
      <c r="A209">
        <v>4.5999999999999996</v>
      </c>
      <c r="B209">
        <v>20</v>
      </c>
    </row>
    <row r="210" spans="1:2" x14ac:dyDescent="0.25">
      <c r="A210">
        <v>4.9000000000000004</v>
      </c>
      <c r="B210">
        <v>6</v>
      </c>
    </row>
    <row r="211" spans="1:2" x14ac:dyDescent="0.25">
      <c r="A211">
        <v>4</v>
      </c>
      <c r="B211">
        <v>17</v>
      </c>
    </row>
    <row r="212" spans="1:2" x14ac:dyDescent="0.25">
      <c r="A212">
        <v>4.5</v>
      </c>
      <c r="B212">
        <v>18</v>
      </c>
    </row>
    <row r="213" spans="1:2" x14ac:dyDescent="0.25">
      <c r="A213">
        <v>4.5999999999999996</v>
      </c>
      <c r="B213">
        <v>13</v>
      </c>
    </row>
    <row r="214" spans="1:2" x14ac:dyDescent="0.25">
      <c r="A214">
        <v>4.5</v>
      </c>
      <c r="B214">
        <v>18</v>
      </c>
    </row>
    <row r="215" spans="1:2" x14ac:dyDescent="0.25">
      <c r="A215">
        <v>4.4000000000000004</v>
      </c>
      <c r="B215">
        <v>20</v>
      </c>
    </row>
    <row r="216" spans="1:2" x14ac:dyDescent="0.25">
      <c r="A216">
        <v>4.3</v>
      </c>
      <c r="B216">
        <v>22</v>
      </c>
    </row>
    <row r="217" spans="1:2" x14ac:dyDescent="0.25">
      <c r="A217">
        <v>4.3</v>
      </c>
      <c r="B217">
        <v>21</v>
      </c>
    </row>
    <row r="218" spans="1:2" x14ac:dyDescent="0.25">
      <c r="A218">
        <v>4.7</v>
      </c>
      <c r="B218">
        <v>28</v>
      </c>
    </row>
    <row r="219" spans="1:2" x14ac:dyDescent="0.25">
      <c r="A219">
        <v>4.8</v>
      </c>
      <c r="B219">
        <v>12</v>
      </c>
    </row>
    <row r="220" spans="1:2" x14ac:dyDescent="0.25">
      <c r="A220">
        <v>4.5999999999999996</v>
      </c>
      <c r="B220">
        <v>24</v>
      </c>
    </row>
    <row r="221" spans="1:2" x14ac:dyDescent="0.25">
      <c r="A221">
        <v>4.7</v>
      </c>
      <c r="B221">
        <v>39</v>
      </c>
    </row>
    <row r="222" spans="1:2" x14ac:dyDescent="0.25">
      <c r="A222">
        <v>4.5999999999999996</v>
      </c>
      <c r="B222">
        <v>9</v>
      </c>
    </row>
    <row r="223" spans="1:2" x14ac:dyDescent="0.25">
      <c r="A223">
        <v>4.7</v>
      </c>
      <c r="B223">
        <v>10</v>
      </c>
    </row>
    <row r="224" spans="1:2" x14ac:dyDescent="0.25">
      <c r="A224">
        <v>4.7</v>
      </c>
      <c r="B224">
        <v>17</v>
      </c>
    </row>
    <row r="225" spans="1:2" x14ac:dyDescent="0.25">
      <c r="A225">
        <v>4.8</v>
      </c>
      <c r="B225">
        <v>11</v>
      </c>
    </row>
    <row r="226" spans="1:2" x14ac:dyDescent="0.25">
      <c r="A226">
        <v>4.2</v>
      </c>
      <c r="B226">
        <v>14</v>
      </c>
    </row>
    <row r="227" spans="1:2" x14ac:dyDescent="0.25">
      <c r="A227">
        <v>4.8</v>
      </c>
      <c r="B227">
        <v>12</v>
      </c>
    </row>
    <row r="228" spans="1:2" x14ac:dyDescent="0.25">
      <c r="A228">
        <v>4.7</v>
      </c>
      <c r="B228">
        <v>53</v>
      </c>
    </row>
    <row r="229" spans="1:2" x14ac:dyDescent="0.25">
      <c r="A229">
        <v>4.5999999999999996</v>
      </c>
      <c r="B229">
        <v>6</v>
      </c>
    </row>
    <row r="230" spans="1:2" x14ac:dyDescent="0.25">
      <c r="A230">
        <v>4.8</v>
      </c>
      <c r="B230">
        <v>8</v>
      </c>
    </row>
    <row r="231" spans="1:2" x14ac:dyDescent="0.25">
      <c r="A231">
        <v>4.8</v>
      </c>
      <c r="B231">
        <v>12</v>
      </c>
    </row>
    <row r="232" spans="1:2" x14ac:dyDescent="0.25">
      <c r="A232">
        <v>3.3</v>
      </c>
      <c r="B232">
        <v>12</v>
      </c>
    </row>
    <row r="233" spans="1:2" x14ac:dyDescent="0.25">
      <c r="A233">
        <v>4.7</v>
      </c>
      <c r="B233">
        <v>21</v>
      </c>
    </row>
    <row r="234" spans="1:2" x14ac:dyDescent="0.25">
      <c r="A234">
        <v>4.3</v>
      </c>
      <c r="B234">
        <v>6</v>
      </c>
    </row>
    <row r="235" spans="1:2" x14ac:dyDescent="0.25">
      <c r="A235">
        <v>4.3</v>
      </c>
      <c r="B235">
        <v>13</v>
      </c>
    </row>
    <row r="236" spans="1:2" x14ac:dyDescent="0.25">
      <c r="A236">
        <v>4.8</v>
      </c>
      <c r="B236">
        <v>0</v>
      </c>
    </row>
    <row r="237" spans="1:2" x14ac:dyDescent="0.25">
      <c r="A237">
        <v>4.4000000000000004</v>
      </c>
      <c r="B237">
        <v>11</v>
      </c>
    </row>
    <row r="238" spans="1:2" x14ac:dyDescent="0.25">
      <c r="A238">
        <v>4.8</v>
      </c>
      <c r="B238">
        <v>9</v>
      </c>
    </row>
    <row r="239" spans="1:2" x14ac:dyDescent="0.25">
      <c r="A239">
        <v>4.0999999999999996</v>
      </c>
      <c r="B239">
        <v>15</v>
      </c>
    </row>
    <row r="240" spans="1:2" x14ac:dyDescent="0.25">
      <c r="A240">
        <v>4</v>
      </c>
      <c r="B240">
        <v>11</v>
      </c>
    </row>
    <row r="241" spans="1:2" x14ac:dyDescent="0.25">
      <c r="A241">
        <v>4.7</v>
      </c>
      <c r="B241">
        <v>13</v>
      </c>
    </row>
    <row r="242" spans="1:2" x14ac:dyDescent="0.25">
      <c r="A242">
        <v>4.5999999999999996</v>
      </c>
      <c r="B242">
        <v>6</v>
      </c>
    </row>
    <row r="243" spans="1:2" x14ac:dyDescent="0.25">
      <c r="A243">
        <v>4.5999999999999996</v>
      </c>
      <c r="B243">
        <v>9</v>
      </c>
    </row>
    <row r="244" spans="1:2" x14ac:dyDescent="0.25">
      <c r="A244">
        <v>4.7</v>
      </c>
      <c r="B244">
        <v>6</v>
      </c>
    </row>
    <row r="245" spans="1:2" x14ac:dyDescent="0.25">
      <c r="A245">
        <v>4.8</v>
      </c>
      <c r="B245">
        <v>0</v>
      </c>
    </row>
    <row r="246" spans="1:2" x14ac:dyDescent="0.25">
      <c r="A246">
        <v>4.0999999999999996</v>
      </c>
      <c r="B246">
        <v>18</v>
      </c>
    </row>
    <row r="247" spans="1:2" x14ac:dyDescent="0.25">
      <c r="A247">
        <v>4.7</v>
      </c>
      <c r="B247">
        <v>14</v>
      </c>
    </row>
    <row r="248" spans="1:2" x14ac:dyDescent="0.25">
      <c r="A248">
        <v>4.7</v>
      </c>
      <c r="B248">
        <v>9</v>
      </c>
    </row>
    <row r="249" spans="1:2" x14ac:dyDescent="0.25">
      <c r="A249">
        <v>4.7</v>
      </c>
      <c r="B249">
        <v>16</v>
      </c>
    </row>
    <row r="250" spans="1:2" x14ac:dyDescent="0.25">
      <c r="A250">
        <v>4.4000000000000004</v>
      </c>
      <c r="B250">
        <v>2</v>
      </c>
    </row>
    <row r="251" spans="1:2" x14ac:dyDescent="0.25">
      <c r="A251">
        <v>4.8</v>
      </c>
      <c r="B251">
        <v>5</v>
      </c>
    </row>
    <row r="252" spans="1:2" x14ac:dyDescent="0.25">
      <c r="A252">
        <v>3.9</v>
      </c>
      <c r="B252">
        <v>20</v>
      </c>
    </row>
    <row r="253" spans="1:2" x14ac:dyDescent="0.25">
      <c r="A253">
        <v>4.4000000000000004</v>
      </c>
      <c r="B253">
        <v>7</v>
      </c>
    </row>
    <row r="254" spans="1:2" x14ac:dyDescent="0.25">
      <c r="A254">
        <v>4.5</v>
      </c>
      <c r="B254">
        <v>14</v>
      </c>
    </row>
    <row r="255" spans="1:2" x14ac:dyDescent="0.25">
      <c r="A255">
        <v>4.7</v>
      </c>
      <c r="B255">
        <v>10</v>
      </c>
    </row>
    <row r="256" spans="1:2" x14ac:dyDescent="0.25">
      <c r="A256">
        <v>4.3</v>
      </c>
      <c r="B256">
        <v>7</v>
      </c>
    </row>
    <row r="257" spans="1:2" x14ac:dyDescent="0.25">
      <c r="A257">
        <v>4.5999999999999996</v>
      </c>
      <c r="B257">
        <v>13</v>
      </c>
    </row>
    <row r="258" spans="1:2" x14ac:dyDescent="0.25">
      <c r="A258">
        <v>4.8</v>
      </c>
      <c r="B258">
        <v>11</v>
      </c>
    </row>
    <row r="259" spans="1:2" x14ac:dyDescent="0.25">
      <c r="A259">
        <v>4.8</v>
      </c>
      <c r="B259">
        <v>6</v>
      </c>
    </row>
    <row r="260" spans="1:2" x14ac:dyDescent="0.25">
      <c r="A260">
        <v>4.8</v>
      </c>
      <c r="B260">
        <v>14</v>
      </c>
    </row>
    <row r="261" spans="1:2" x14ac:dyDescent="0.25">
      <c r="A261">
        <v>4.7</v>
      </c>
      <c r="B261">
        <v>14</v>
      </c>
    </row>
    <row r="262" spans="1:2" x14ac:dyDescent="0.25">
      <c r="A262">
        <v>4.7</v>
      </c>
      <c r="B262">
        <v>8</v>
      </c>
    </row>
    <row r="263" spans="1:2" x14ac:dyDescent="0.25">
      <c r="A263">
        <v>4.8</v>
      </c>
      <c r="B263">
        <v>30</v>
      </c>
    </row>
    <row r="264" spans="1:2" x14ac:dyDescent="0.25">
      <c r="A264">
        <v>4.7</v>
      </c>
      <c r="B264">
        <v>13</v>
      </c>
    </row>
    <row r="265" spans="1:2" x14ac:dyDescent="0.25">
      <c r="A265">
        <v>4.3</v>
      </c>
      <c r="B265">
        <v>7</v>
      </c>
    </row>
    <row r="266" spans="1:2" x14ac:dyDescent="0.25">
      <c r="A266">
        <v>4.7</v>
      </c>
      <c r="B266">
        <v>9</v>
      </c>
    </row>
    <row r="267" spans="1:2" x14ac:dyDescent="0.25">
      <c r="A267">
        <v>4.8</v>
      </c>
      <c r="B267">
        <v>7</v>
      </c>
    </row>
    <row r="268" spans="1:2" x14ac:dyDescent="0.25">
      <c r="A268">
        <v>4.9000000000000004</v>
      </c>
      <c r="B268">
        <v>20</v>
      </c>
    </row>
    <row r="269" spans="1:2" x14ac:dyDescent="0.25">
      <c r="A269">
        <v>4.4000000000000004</v>
      </c>
      <c r="B269">
        <v>13</v>
      </c>
    </row>
    <row r="270" spans="1:2" x14ac:dyDescent="0.25">
      <c r="A270">
        <v>4.5</v>
      </c>
      <c r="B270">
        <v>11</v>
      </c>
    </row>
    <row r="271" spans="1:2" x14ac:dyDescent="0.25">
      <c r="A271">
        <v>4.4000000000000004</v>
      </c>
      <c r="B271">
        <v>18</v>
      </c>
    </row>
    <row r="272" spans="1:2" x14ac:dyDescent="0.25">
      <c r="A272">
        <v>4.8</v>
      </c>
      <c r="B272">
        <v>14</v>
      </c>
    </row>
    <row r="273" spans="1:2" x14ac:dyDescent="0.25">
      <c r="A273">
        <v>4.2</v>
      </c>
      <c r="B273">
        <v>19</v>
      </c>
    </row>
    <row r="274" spans="1:2" x14ac:dyDescent="0.25">
      <c r="A274">
        <v>4.8</v>
      </c>
      <c r="B274">
        <v>13</v>
      </c>
    </row>
    <row r="275" spans="1:2" x14ac:dyDescent="0.25">
      <c r="A275">
        <v>4.9000000000000004</v>
      </c>
      <c r="B275">
        <v>5</v>
      </c>
    </row>
    <row r="276" spans="1:2" x14ac:dyDescent="0.25">
      <c r="A276">
        <v>4.8</v>
      </c>
      <c r="B276">
        <v>10</v>
      </c>
    </row>
    <row r="277" spans="1:2" x14ac:dyDescent="0.25">
      <c r="A277">
        <v>4.7</v>
      </c>
      <c r="B277">
        <v>9</v>
      </c>
    </row>
    <row r="278" spans="1:2" x14ac:dyDescent="0.25">
      <c r="A278">
        <v>4.5</v>
      </c>
      <c r="B278">
        <v>8</v>
      </c>
    </row>
    <row r="279" spans="1:2" x14ac:dyDescent="0.25">
      <c r="A279">
        <v>4.8</v>
      </c>
      <c r="B279">
        <v>8</v>
      </c>
    </row>
    <row r="280" spans="1:2" x14ac:dyDescent="0.25">
      <c r="A280">
        <v>4.5999999999999996</v>
      </c>
      <c r="B280">
        <v>12</v>
      </c>
    </row>
    <row r="281" spans="1:2" x14ac:dyDescent="0.25">
      <c r="A281">
        <v>4.8</v>
      </c>
      <c r="B281">
        <v>11</v>
      </c>
    </row>
    <row r="282" spans="1:2" x14ac:dyDescent="0.25">
      <c r="A282">
        <v>4.4000000000000004</v>
      </c>
      <c r="B282">
        <v>40</v>
      </c>
    </row>
    <row r="283" spans="1:2" x14ac:dyDescent="0.25">
      <c r="A283">
        <v>4.3</v>
      </c>
      <c r="B283">
        <v>36</v>
      </c>
    </row>
    <row r="284" spans="1:2" x14ac:dyDescent="0.25">
      <c r="A284">
        <v>4.3</v>
      </c>
      <c r="B284">
        <v>16</v>
      </c>
    </row>
    <row r="285" spans="1:2" x14ac:dyDescent="0.25">
      <c r="A285">
        <v>4.8</v>
      </c>
      <c r="B285">
        <v>17</v>
      </c>
    </row>
    <row r="286" spans="1:2" x14ac:dyDescent="0.25">
      <c r="A286">
        <v>4.8</v>
      </c>
      <c r="B286">
        <v>14</v>
      </c>
    </row>
    <row r="287" spans="1:2" x14ac:dyDescent="0.25">
      <c r="A287">
        <v>4.8</v>
      </c>
      <c r="B287">
        <v>21</v>
      </c>
    </row>
    <row r="288" spans="1:2" x14ac:dyDescent="0.25">
      <c r="A288">
        <v>4.5</v>
      </c>
      <c r="B288">
        <v>18</v>
      </c>
    </row>
    <row r="289" spans="1:2" x14ac:dyDescent="0.25">
      <c r="A289">
        <v>4.4000000000000004</v>
      </c>
      <c r="B289">
        <v>17</v>
      </c>
    </row>
    <row r="290" spans="1:2" x14ac:dyDescent="0.25">
      <c r="A290">
        <v>4.8</v>
      </c>
      <c r="B290">
        <v>5</v>
      </c>
    </row>
    <row r="291" spans="1:2" x14ac:dyDescent="0.25">
      <c r="A291">
        <v>4.5999999999999996</v>
      </c>
      <c r="B291">
        <v>21</v>
      </c>
    </row>
    <row r="292" spans="1:2" x14ac:dyDescent="0.25">
      <c r="A292">
        <v>4.3</v>
      </c>
      <c r="B292">
        <v>18</v>
      </c>
    </row>
    <row r="293" spans="1:2" x14ac:dyDescent="0.25">
      <c r="A293">
        <v>4.3</v>
      </c>
      <c r="B293">
        <v>18</v>
      </c>
    </row>
    <row r="294" spans="1:2" x14ac:dyDescent="0.25">
      <c r="A294">
        <v>4.5999999999999996</v>
      </c>
      <c r="B294">
        <v>12</v>
      </c>
    </row>
    <row r="295" spans="1:2" x14ac:dyDescent="0.25">
      <c r="A295">
        <v>4.5999999999999996</v>
      </c>
      <c r="B295">
        <v>14</v>
      </c>
    </row>
    <row r="296" spans="1:2" x14ac:dyDescent="0.25">
      <c r="A296">
        <v>4.8</v>
      </c>
      <c r="B296">
        <v>12</v>
      </c>
    </row>
    <row r="297" spans="1:2" x14ac:dyDescent="0.25">
      <c r="A297">
        <v>4.5999999999999996</v>
      </c>
      <c r="B297">
        <v>8</v>
      </c>
    </row>
    <row r="298" spans="1:2" x14ac:dyDescent="0.25">
      <c r="A298">
        <v>4.5999999999999996</v>
      </c>
      <c r="B298">
        <v>0</v>
      </c>
    </row>
    <row r="299" spans="1:2" x14ac:dyDescent="0.25">
      <c r="A299">
        <v>4.5</v>
      </c>
      <c r="B299">
        <v>14</v>
      </c>
    </row>
    <row r="300" spans="1:2" x14ac:dyDescent="0.25">
      <c r="A300">
        <v>4.8</v>
      </c>
      <c r="B300">
        <v>10</v>
      </c>
    </row>
    <row r="301" spans="1:2" x14ac:dyDescent="0.25">
      <c r="A301">
        <v>4.5999999999999996</v>
      </c>
      <c r="B301">
        <v>15</v>
      </c>
    </row>
    <row r="302" spans="1:2" x14ac:dyDescent="0.25">
      <c r="A302">
        <v>4.7</v>
      </c>
      <c r="B302">
        <v>9</v>
      </c>
    </row>
    <row r="303" spans="1:2" x14ac:dyDescent="0.25">
      <c r="A303">
        <v>4.7</v>
      </c>
      <c r="B303">
        <v>7</v>
      </c>
    </row>
    <row r="304" spans="1:2" x14ac:dyDescent="0.25">
      <c r="A304">
        <v>4.7</v>
      </c>
      <c r="B304">
        <v>10</v>
      </c>
    </row>
    <row r="305" spans="1:2" x14ac:dyDescent="0.25">
      <c r="A305">
        <v>4.4000000000000004</v>
      </c>
      <c r="B305">
        <v>6</v>
      </c>
    </row>
    <row r="306" spans="1:2" x14ac:dyDescent="0.25">
      <c r="A306">
        <v>4.4000000000000004</v>
      </c>
      <c r="B306">
        <v>9</v>
      </c>
    </row>
    <row r="307" spans="1:2" x14ac:dyDescent="0.25">
      <c r="A307">
        <v>4.7</v>
      </c>
      <c r="B307">
        <v>10</v>
      </c>
    </row>
    <row r="308" spans="1:2" x14ac:dyDescent="0.25">
      <c r="A308">
        <v>4.7</v>
      </c>
      <c r="B308">
        <v>82</v>
      </c>
    </row>
    <row r="309" spans="1:2" x14ac:dyDescent="0.25">
      <c r="A309">
        <v>4.8</v>
      </c>
      <c r="B309">
        <v>12</v>
      </c>
    </row>
    <row r="310" spans="1:2" x14ac:dyDescent="0.25">
      <c r="A310">
        <v>4.7</v>
      </c>
      <c r="B310">
        <v>10</v>
      </c>
    </row>
    <row r="311" spans="1:2" x14ac:dyDescent="0.25">
      <c r="A311">
        <v>4.9000000000000004</v>
      </c>
      <c r="B311">
        <v>5</v>
      </c>
    </row>
    <row r="312" spans="1:2" x14ac:dyDescent="0.25">
      <c r="A312">
        <v>4.5999999999999996</v>
      </c>
      <c r="B312">
        <v>16</v>
      </c>
    </row>
    <row r="313" spans="1:2" x14ac:dyDescent="0.25">
      <c r="A313">
        <v>4.9000000000000004</v>
      </c>
      <c r="B313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 dinamica</vt:lpstr>
      <vt:lpstr>Worksheet</vt:lpstr>
      <vt:lpstr>Regresión</vt:lpstr>
      <vt:lpstr>Hoja1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EQUIPO</cp:lastModifiedBy>
  <dcterms:created xsi:type="dcterms:W3CDTF">2024-07-28T02:49:23Z</dcterms:created>
  <dcterms:modified xsi:type="dcterms:W3CDTF">2026-02-10T15:03:34Z</dcterms:modified>
  <cp:category/>
</cp:coreProperties>
</file>